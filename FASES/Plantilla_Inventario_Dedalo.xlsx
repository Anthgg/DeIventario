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483959ed3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05c733008c47ad"/>
    <x:sheet xmlns:r="http://schemas.openxmlformats.org/officeDocument/2006/relationships" name="Import_Odoo_Raw" sheetId="2" r:id="Ra951e815d460491f"/>
    <x:sheet xmlns:r="http://schemas.openxmlformats.org/officeDocument/2006/relationships" name="Contactos" sheetId="3" r:id="Re9090499f7ff403c"/>
    <x:sheet xmlns:r="http://schemas.openxmlformats.org/officeDocument/2006/relationships" name="Maestro_Productos" sheetId="4" r:id="R2adc678211ba456c"/>
    <x:sheet xmlns:r="http://schemas.openxmlformats.org/officeDocument/2006/relationships" name="Inventarios" sheetId="5" r:id="R76b6efa4061642c2"/>
    <x:sheet xmlns:r="http://schemas.openxmlformats.org/officeDocument/2006/relationships" name="Eventos_Conteo" sheetId="6" r:id="R318e491b0c1e4f28"/>
    <x:sheet xmlns:r="http://schemas.openxmlformats.org/officeDocument/2006/relationships" name="Conteos" sheetId="7" r:id="R2bc9982129a84476"/>
    <x:sheet xmlns:r="http://schemas.openxmlformats.org/officeDocument/2006/relationships" name="Conciliacion" sheetId="8" r:id="R5553e28434014df8"/>
    <x:sheet xmlns:r="http://schemas.openxmlformats.org/officeDocument/2006/relationships" name="Ajuste_ERP" sheetId="9" r:id="R00e61a3c62294ea7"/>
    <x:sheet xmlns:r="http://schemas.openxmlformats.org/officeDocument/2006/relationships" name="Dashboard" sheetId="10" r:id="R81f4f40e128c4aa0"/>
    <x:sheet xmlns:r="http://schemas.openxmlformats.org/officeDocument/2006/relationships" name="Catalogos" sheetId="11" r:id="Red1d67809a2d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 &quot;#,##0.00"/>
    <x:numFmt numFmtId="201" formatCode="yyyy-mm-dd hh:mm"/>
    <x:numFmt numFmtId="202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d54c27f84454f" /><Relationship Type="http://schemas.openxmlformats.org/officeDocument/2006/relationships/theme" Target="/xl/theme/theme1.xml" Id="R016437189d424fc9" /><Relationship Type="http://schemas.microsoft.com/office/2022/11/relationships/FeaturePropertyBag" Target="/xl/featurePropertyBag/featurePropertyBag.xml" Id="Rb53b22f6a8e64a92" /><Relationship Type="http://schemas.openxmlformats.org/officeDocument/2006/relationships/sharedStrings" Target="/xl/sharedStrings.xml" Id="R741d6b37d60345f8" /><Relationship Type="http://schemas.openxmlformats.org/officeDocument/2006/relationships/worksheet" Target="/xl/worksheets/sheet1.xml" Id="Rdb05c733008c47ad" /><Relationship Type="http://schemas.openxmlformats.org/officeDocument/2006/relationships/worksheet" Target="/xl/worksheets/sheet2.xml" Id="Ra951e815d460491f" /><Relationship Type="http://schemas.openxmlformats.org/officeDocument/2006/relationships/worksheet" Target="/xl/worksheets/sheet3.xml" Id="Re9090499f7ff403c" /><Relationship Type="http://schemas.openxmlformats.org/officeDocument/2006/relationships/worksheet" Target="/xl/worksheets/sheet4.xml" Id="R2adc678211ba456c" /><Relationship Type="http://schemas.openxmlformats.org/officeDocument/2006/relationships/worksheet" Target="/xl/worksheets/sheet5.xml" Id="R76b6efa4061642c2" /><Relationship Type="http://schemas.openxmlformats.org/officeDocument/2006/relationships/worksheet" Target="/xl/worksheets/sheet6.xml" Id="R318e491b0c1e4f28" /><Relationship Type="http://schemas.openxmlformats.org/officeDocument/2006/relationships/worksheet" Target="/xl/worksheets/sheet7.xml" Id="R2bc9982129a84476" /><Relationship Type="http://schemas.openxmlformats.org/officeDocument/2006/relationships/worksheet" Target="/xl/worksheets/sheet8.xml" Id="R5553e28434014df8" /><Relationship Type="http://schemas.openxmlformats.org/officeDocument/2006/relationships/worksheet" Target="/xl/worksheets/sheet9.xml" Id="R00e61a3c62294ea7" /><Relationship Type="http://schemas.openxmlformats.org/officeDocument/2006/relationships/worksheet" Target="/xl/worksheets/sheet10.xml" Id="R81f4f40e128c4aa0" /><Relationship Type="http://schemas.openxmlformats.org/officeDocument/2006/relationships/worksheet" Target="/xl/worksheets/sheet11.xml" Id="Red1d67809a2d44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4" t="str">
        <x:v>PLANTILLA DE INVENTARIO - DEDALO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Hoja</x:v>
      </x:c>
      <x:c r="B4" s="12" t="str">
        <x:v>Uso</x:v>
      </x:c>
    </x:row>
    <x:row r="5">
      <x:c r="A5" t="str">
        <x:v>Import_Odoo_Raw</x:v>
      </x:c>
      <x:c r="B5" t="str">
        <x:v>Pegar/subir export de Odoo sin alterar columnas de negocio.</x:v>
      </x:c>
    </x:row>
    <x:row r="6">
      <x:c r="A6" t="str">
        <x:v>Contactos</x:v>
      </x:c>
      <x:c r="B6" t="str">
        <x:v>Referencias y proveedores/contactos.</x:v>
      </x:c>
    </x:row>
    <x:row r="7">
      <x:c r="A7" t="str">
        <x:v>Maestro_Productos</x:v>
      </x:c>
      <x:c r="B7" t="str">
        <x:v>Codigo, descripcion, precio, costos y costo efectivo.</x:v>
      </x:c>
    </x:row>
    <x:row r="8">
      <x:c r="A8" t="str">
        <x:v>Inventarios</x:v>
      </x:c>
      <x:c r="B8" t="str">
        <x:v>Campañas, responsables, plazo, modo y estado.</x:v>
      </x:c>
    </x:row>
    <x:row r="9">
      <x:c r="A9" t="str">
        <x:v>Eventos_Conteo</x:v>
      </x:c>
      <x:c r="B9" t="str">
        <x:v>Cada QR y cada ajuste manual queda auditado.</x:v>
      </x:c>
    </x:row>
    <x:row r="10">
      <x:c r="A10" t="str">
        <x:v>Conteos</x:v>
      </x:c>
      <x:c r="B10" t="str">
        <x:v>Resultado consolidado por usuario/intento/codigo.</x:v>
      </x:c>
    </x:row>
    <x:row r="11">
      <x:c r="A11" t="str">
        <x:v>Conciliacion</x:v>
      </x:c>
      <x:c r="B11" t="str">
        <x:v>Odoo vs conteos ciegos, daños, faltantes, sobrantes y valorizacion.</x:v>
      </x:c>
    </x:row>
    <x:row r="12">
      <x:c r="A12" t="str">
        <x:v>Ajuste_ERP</x:v>
      </x:c>
      <x:c r="B12" t="str">
        <x:v>Salida limpia para importar stock aprobado.</x:v>
      </x:c>
    </x:row>
    <x:row r="13">
      <x:c r="A13" t="str">
        <x:v>Dashboard</x:v>
      </x:c>
      <x:c r="B13" t="str">
        <x:v>Indicadores operativos/economicos.</x:v>
      </x:c>
    </x:row>
    <x:row r="14">
      <x:c r="A14" t="str">
        <x:v>Catalogos</x:v>
      </x:c>
      <x:c r="B14" t="str">
        <x:v>Listas controladas para estados, roles y motivos.</x:v>
      </x:c>
    </x:row>
    <x:row r="16">
      <x:c r="A16" s="19" t="str">
        <x:v>REGLAS CENTRALES</x:v>
      </x:c>
      <x:c r="B16" s="19"/>
      <x:c r="C16" s="19"/>
      <x:c r="D16" s="19"/>
      <x:c r="E16" s="19"/>
      <x:c r="F16" s="19"/>
      <x:c r="G16" s="19"/>
      <x:c r="H16" s="19"/>
    </x:row>
    <x:row r="17" ht="30" customHeight="1">
      <x:c r="A17" s="22" t="str">
        <x:v>1. Conteo ciego: operario no ve stock esperado ni conteos ajenos.</x:v>
      </x:c>
      <x:c r="B17" s="22" t="str"/>
      <x:c r="C17" s="22" t="str"/>
      <x:c r="D17" s="22" t="str"/>
      <x:c r="E17" s="22" t="str"/>
      <x:c r="F17" s="22" t="str"/>
      <x:c r="G17" s="22" t="str"/>
      <x:c r="H17" s="22" t="str"/>
    </x:row>
    <x:row r="18" ht="30" customHeight="1">
      <x:c r="A18" s="22" t="str">
        <x:v>2. Camara activa dentro de la PWA. Cada QR detectado suma +1 automaticamente.</x:v>
      </x:c>
      <x:c r="B18" s="22" t="str"/>
      <x:c r="C18" s="22" t="str"/>
      <x:c r="D18" s="22" t="str"/>
      <x:c r="E18" s="22" t="str"/>
      <x:c r="F18" s="22" t="str"/>
      <x:c r="G18" s="22" t="str"/>
      <x:c r="H18" s="22" t="str"/>
    </x:row>
    <x:row r="19" ht="30" customHeight="1">
      <x:c r="A19" s="22" t="str">
        <x:v>3. Cantidad tambien puede ajustarse con +, -, o edicion manual; cada cambio genera evento.</x:v>
      </x:c>
      <x:c r="B19" s="22" t="str"/>
      <x:c r="C19" s="22" t="str"/>
      <x:c r="D19" s="22" t="str"/>
      <x:c r="E19" s="22" t="str"/>
      <x:c r="F19" s="22" t="str"/>
      <x:c r="G19" s="22" t="str"/>
      <x:c r="H19" s="22" t="str"/>
    </x:row>
    <x:row r="20" ht="30" customHeight="1">
      <x:c r="A20" s="22" t="str">
        <x:v>4. QR fuera de lista se acepta como EXTRA; QR sin maestro se acepta como DESCONOCIDO.</x:v>
      </x:c>
      <x:c r="B20" s="22" t="str"/>
      <x:c r="C20" s="22" t="str"/>
      <x:c r="D20" s="22" t="str"/>
      <x:c r="E20" s="22" t="str"/>
      <x:c r="F20" s="22" t="str"/>
      <x:c r="G20" s="22" t="str"/>
      <x:c r="H20" s="22" t="str"/>
    </x:row>
    <x:row r="21" ht="30" customHeight="1">
      <x:c r="A21" s="22" t="str">
        <x:v>5. Al terminar recien se muestran codigos asignados no encontrados, sin cantidades esperadas.</x:v>
      </x:c>
      <x:c r="B21" s="22" t="str"/>
      <x:c r="C21" s="22" t="str"/>
      <x:c r="D21" s="22" t="str"/>
      <x:c r="E21" s="22" t="str"/>
      <x:c r="F21" s="22" t="str"/>
      <x:c r="G21" s="22" t="str"/>
      <x:c r="H21" s="22" t="str"/>
    </x:row>
    <x:row r="22" ht="30" customHeight="1">
      <x:c r="A22" s="22" t="str">
        <x:v>6. Reasignacion = nuevo conteo completo y ciego desde cero para el nuevo usuario.</x:v>
      </x:c>
      <x:c r="B22" s="22" t="str"/>
      <x:c r="C22" s="22" t="str"/>
      <x:c r="D22" s="22" t="str"/>
      <x:c r="E22" s="22" t="str"/>
      <x:c r="F22" s="22" t="str"/>
      <x:c r="G22" s="22" t="str"/>
      <x:c r="H22" s="22" t="str"/>
    </x:row>
    <x:row r="23" ht="30" customHeight="1">
      <x:c r="A23" s="22" t="str">
        <x:v>7. Dañados siguen dentro del total fisico y se valorizan a costo.</x:v>
      </x:c>
      <x:c r="B23" s="22" t="str"/>
      <x:c r="C23" s="22" t="str"/>
      <x:c r="D23" s="22" t="str"/>
      <x:c r="E23" s="22" t="str"/>
      <x:c r="F23" s="22" t="str"/>
      <x:c r="G23" s="22" t="str"/>
      <x:c r="H23" s="22" t="str"/>
    </x:row>
    <x:row r="24" ht="30" customHeight="1">
      <x:c r="A24" s="22" t="str">
        <x:v>8. Regla costo: Costo &gt; 0; si no, Costo Consignacion &gt; 0; si ambos 0, costo 0.</x:v>
      </x:c>
      <x:c r="B24" s="22" t="str"/>
      <x:c r="C24" s="22" t="str"/>
      <x:c r="D24" s="22" t="str"/>
      <x:c r="E24" s="22" t="str"/>
      <x:c r="F24" s="22" t="str"/>
      <x:c r="G24" s="22" t="str"/>
      <x:c r="H24" s="22" t="str"/>
    </x:row>
    <x:row r="25" ht="30" customHeight="1">
      <x:c r="A25" s="22" t="str">
        <x:v>9. Cierre: PDF auditoria + Excel auditoria + Excel de ajuste ERP.</x:v>
      </x:c>
      <x:c r="B25" s="22" t="str"/>
      <x:c r="C25" s="22" t="str"/>
      <x:c r="D25" s="22" t="str"/>
      <x:c r="E25" s="22" t="str"/>
      <x:c r="F25" s="22" t="str"/>
      <x:c r="G25" s="22" t="str"/>
      <x:c r="H25" s="22" t="str"/>
    </x:row>
  </x:sheetData>
  <x:mergeCells>
    <x:mergeCell ref="A1:H2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38" hidden="0" customWidth="1"/>
    <x:col min="5" max="5" width="14" hidden="0" customWidth="1"/>
    <x:col min="6" max="6" width="12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22" hidden="0" customWidth="1"/>
    <x:col min="12" max="12" width="18" hidden="0" customWidth="1"/>
    <x:col min="13" max="13" width="22" hidden="0" customWidth="1"/>
  </x:cols>
  <x:sheetData>
    <x:row r="1">
      <x:c r="A1" s="12" t="str">
        <x:v>Proveedor_Referencia</x:v>
      </x:c>
      <x:c r="B1" s="12" t="str">
        <x:v>Proveedor</x:v>
      </x:c>
      <x:c r="C1" s="12" t="str">
        <x:v>Codigo</x:v>
      </x:c>
      <x:c r="D1" s="12" t="str">
        <x:v>Descripcion</x:v>
      </x:c>
      <x:c r="E1" s="12" t="str">
        <x:v>Precio_Venta</x:v>
      </x:c>
      <x:c r="F1" s="12" t="str">
        <x:v>Costo</x:v>
      </x:c>
      <x:c r="G1" s="12" t="str">
        <x:v>Costo_Consignacion</x:v>
      </x:c>
      <x:c r="H1" s="12" t="str">
        <x:v>Cantidad_A_La_Mano</x:v>
      </x:c>
      <x:c r="I1" s="12" t="str">
        <x:v>Movimiento</x:v>
      </x:c>
      <x:c r="J1" s="12" t="str">
        <x:v>Movimiento_Cantidad</x:v>
      </x:c>
      <x:c r="K1" s="12" t="str">
        <x:v>Movimiento_Fecha_Programada</x:v>
      </x:c>
      <x:c r="L1" s="12" t="str">
        <x:v>Movimiento_Estado</x:v>
      </x:c>
      <x:c r="M1" s="12" t="str">
        <x:v>Movimiento_Fecha_Efectiva</x:v>
      </x:c>
    </x:row>
    <x:row r="2">
      <x:c r="A2" t="str">
        <x:v>THE6</x:v>
      </x:c>
      <x:c r="B2" t="str">
        <x:v>THEOBROMA</x:v>
      </x:c>
      <x:c r="C2" t="str">
        <x:v>THE60005</x:v>
      </x:c>
      <x:c r="D2" t="str">
        <x:v>CACAOSUYO LAKUNA 70%-70GR TAB</x:v>
      </x:c>
      <x:c r="E2" s="24" t="n">
        <x:v>28</x:v>
      </x:c>
      <x:c r="F2" s="24" t="n">
        <x:v>0</x:v>
      </x:c>
      <x:c r="G2" s="24" t="n">
        <x:v>0</x:v>
      </x:c>
      <x:c r="H2" t="n">
        <x:v>5</x:v>
      </x:c>
      <x:c r="I2" t="str">
        <x:v>Stock &gt; Customers</x:v>
      </x:c>
      <x:c r="J2" t="n">
        <x:v>-1</x:v>
      </x:c>
      <x:c r="K2" s="26" t="n">
        <x:v>46286.416666666664</x:v>
      </x:c>
      <x:c r="L2" s="26" t="str">
        <x:v>Hecho</x:v>
      </x:c>
      <x:c r="M2" s="26" t="n">
        <x:v>46286.41805555556</x:v>
      </x:c>
    </x:row>
    <x:row r="3">
      <x:c r="A3" t="str">
        <x:v>CHO6</x:v>
      </x:c>
      <x:c r="B3" t="str">
        <x:v>CHOCOLATES</x:v>
      </x:c>
      <x:c r="C3" t="str">
        <x:v>CHO60006</x:v>
      </x:c>
      <x:c r="D3" t="str">
        <x:v>100% cacao con canela y clavo</x:v>
      </x:c>
      <x:c r="E3" s="24" t="n">
        <x:v>32.5</x:v>
      </x:c>
      <x:c r="F3" s="24" t="n">
        <x:v>14</x:v>
      </x:c>
      <x:c r="G3" s="24" t="n">
        <x:v>0</x:v>
      </x:c>
      <x:c r="H3" t="n">
        <x:v>8</x:v>
      </x:c>
      <x:c r="I3" t="str">
        <x:v>Vendors &gt; Stock</x:v>
      </x:c>
      <x:c r="J3" t="n">
        <x:v>5</x:v>
      </x:c>
      <x:c r="K3" s="26" t="n">
        <x:v>46285.375</x:v>
      </x:c>
      <x:c r="L3" s="26" t="str">
        <x:v>Hecho</x:v>
      </x:c>
      <x:c r="M3" s="26" t="n">
        <x:v>46285.385416666664</x:v>
      </x:c>
    </x:row>
    <x:row r="4">
      <x:c r="A4" t="str">
        <x:v>KIA6</x:v>
      </x:c>
      <x:c r="B4" t="str">
        <x:v>KIABAME</x:v>
      </x:c>
      <x:c r="C4" t="str">
        <x:v>KIA60005</x:v>
      </x:c>
      <x:c r="D4" t="str">
        <x:v>100% tableta de cacao pasta pura</x:v>
      </x:c>
      <x:c r="E4" s="24" t="n">
        <x:v>18</x:v>
      </x:c>
      <x:c r="F4" s="24" t="n">
        <x:v>0</x:v>
      </x:c>
      <x:c r="G4" s="24" t="n">
        <x:v>10.5</x:v>
      </x:c>
      <x:c r="H4" t="n">
        <x:v>2</x:v>
      </x:c>
      <x:c r="I4" t="str">
        <x:v>Stock &gt; Customers</x:v>
      </x:c>
      <x:c r="J4" t="n">
        <x:v>-1</x:v>
      </x:c>
      <x:c r="K4" s="26" t="n">
        <x:v>46286.458333333336</x:v>
      </x:c>
      <x:c r="L4" s="26" t="str">
        <x:v>Programado</x:v>
      </x:c>
      <x:c r="M4" s="26"/>
    </x:row>
    <x:row r="5">
      <x:c r="E5" s="24"/>
      <x:c r="F5" s="24"/>
      <x:c r="G5" s="24"/>
      <x:c r="K5" s="26"/>
      <x:c r="L5" s="26"/>
      <x:c r="M5" s="26"/>
    </x:row>
    <x:row r="6">
      <x:c r="E6" s="24"/>
      <x:c r="F6" s="24"/>
      <x:c r="G6" s="24"/>
      <x:c r="K6" s="26"/>
      <x:c r="L6" s="26"/>
      <x:c r="M6" s="26"/>
    </x:row>
    <x:row r="7">
      <x:c r="E7" s="24"/>
      <x:c r="F7" s="24"/>
      <x:c r="G7" s="24"/>
      <x:c r="K7" s="26"/>
      <x:c r="L7" s="26"/>
      <x:c r="M7" s="26"/>
    </x:row>
    <x:row r="8">
      <x:c r="E8" s="24"/>
      <x:c r="F8" s="24"/>
      <x:c r="G8" s="24"/>
      <x:c r="K8" s="26"/>
      <x:c r="L8" s="26"/>
      <x:c r="M8" s="26"/>
    </x:row>
    <x:row r="9">
      <x:c r="E9" s="24"/>
      <x:c r="F9" s="24"/>
      <x:c r="G9" s="24"/>
      <x:c r="K9" s="26"/>
      <x:c r="L9" s="26"/>
      <x:c r="M9" s="26"/>
    </x:row>
    <x:row r="10">
      <x:c r="E10" s="24"/>
      <x:c r="F10" s="24"/>
      <x:c r="G10" s="24"/>
      <x:c r="K10" s="26"/>
      <x:c r="L10" s="26"/>
      <x:c r="M10" s="26"/>
    </x:row>
    <x:row r="11">
      <x:c r="E11" s="24"/>
      <x:c r="F11" s="24"/>
      <x:c r="G11" s="24"/>
      <x:c r="K11" s="26"/>
      <x:c r="L11" s="26"/>
      <x:c r="M11" s="26"/>
    </x:row>
    <x:row r="12">
      <x:c r="E12" s="24"/>
      <x:c r="F12" s="24"/>
      <x:c r="G12" s="24"/>
      <x:c r="K12" s="26"/>
      <x:c r="L12" s="26"/>
      <x:c r="M12" s="26"/>
    </x:row>
    <x:row r="13">
      <x:c r="E13" s="24"/>
      <x:c r="F13" s="24"/>
      <x:c r="G13" s="24"/>
      <x:c r="K13" s="26"/>
      <x:c r="L13" s="26"/>
      <x:c r="M13" s="26"/>
    </x:row>
    <x:row r="14">
      <x:c r="E14" s="24"/>
      <x:c r="F14" s="24"/>
      <x:c r="G14" s="24"/>
      <x:c r="K14" s="26"/>
      <x:c r="L14" s="26"/>
      <x:c r="M14" s="26"/>
    </x:row>
    <x:row r="15">
      <x:c r="E15" s="24"/>
      <x:c r="F15" s="24"/>
      <x:c r="G15" s="24"/>
      <x:c r="K15" s="26"/>
      <x:c r="L15" s="26"/>
      <x:c r="M15" s="26"/>
    </x:row>
    <x:row r="16">
      <x:c r="E16" s="24"/>
      <x:c r="F16" s="24"/>
      <x:c r="G16" s="24"/>
      <x:c r="K16" s="26"/>
      <x:c r="L16" s="26"/>
      <x:c r="M16" s="26"/>
    </x:row>
    <x:row r="17">
      <x:c r="E17" s="24"/>
      <x:c r="F17" s="24"/>
      <x:c r="G17" s="24"/>
      <x:c r="K17" s="26"/>
      <x:c r="L17" s="26"/>
      <x:c r="M17" s="26"/>
    </x:row>
    <x:row r="18">
      <x:c r="E18" s="24"/>
      <x:c r="F18" s="24"/>
      <x:c r="G18" s="24"/>
      <x:c r="K18" s="26"/>
      <x:c r="L18" s="26"/>
      <x:c r="M18" s="26"/>
    </x:row>
    <x:row r="19">
      <x:c r="E19" s="24"/>
      <x:c r="F19" s="24"/>
      <x:c r="G19" s="24"/>
      <x:c r="K19" s="26"/>
      <x:c r="L19" s="26"/>
      <x:c r="M19" s="26"/>
    </x:row>
    <x:row r="20">
      <x:c r="E20" s="24"/>
      <x:c r="F20" s="24"/>
      <x:c r="G20" s="24"/>
      <x:c r="K20" s="26"/>
      <x:c r="L20" s="26"/>
      <x:c r="M20" s="26"/>
    </x:row>
    <x:row r="21">
      <x:c r="E21" s="24"/>
      <x:c r="F21" s="24"/>
      <x:c r="G21" s="24"/>
      <x:c r="K21" s="26"/>
      <x:c r="L21" s="26"/>
      <x:c r="M21" s="26"/>
    </x:row>
    <x:row r="22">
      <x:c r="E22" s="24"/>
      <x:c r="F22" s="24"/>
      <x:c r="G22" s="24"/>
      <x:c r="K22" s="26"/>
      <x:c r="L22" s="26"/>
      <x:c r="M22" s="26"/>
    </x:row>
    <x:row r="23">
      <x:c r="E23" s="24"/>
      <x:c r="F23" s="24"/>
      <x:c r="G23" s="24"/>
      <x:c r="K23" s="26"/>
      <x:c r="L23" s="26"/>
      <x:c r="M23" s="26"/>
    </x:row>
    <x:row r="24">
      <x:c r="E24" s="24"/>
      <x:c r="F24" s="24"/>
      <x:c r="G24" s="24"/>
      <x:c r="K24" s="26"/>
      <x:c r="L24" s="26"/>
      <x:c r="M24" s="26"/>
    </x:row>
    <x:row r="25">
      <x:c r="E25" s="24"/>
      <x:c r="F25" s="24"/>
      <x:c r="G25" s="24"/>
      <x:c r="K25" s="26"/>
      <x:c r="L25" s="26"/>
      <x:c r="M25" s="26"/>
    </x:row>
    <x:row r="26">
      <x:c r="E26" s="24"/>
      <x:c r="F26" s="24"/>
      <x:c r="G26" s="24"/>
      <x:c r="K26" s="26"/>
      <x:c r="L26" s="26"/>
      <x:c r="M26" s="26"/>
    </x:row>
    <x:row r="27">
      <x:c r="E27" s="24"/>
      <x:c r="F27" s="24"/>
      <x:c r="G27" s="24"/>
      <x:c r="K27" s="26"/>
      <x:c r="L27" s="26"/>
      <x:c r="M27" s="26"/>
    </x:row>
    <x:row r="28">
      <x:c r="E28" s="24"/>
      <x:c r="F28" s="24"/>
      <x:c r="G28" s="24"/>
      <x:c r="K28" s="26"/>
      <x:c r="L28" s="26"/>
      <x:c r="M28" s="26"/>
    </x:row>
    <x:row r="29">
      <x:c r="E29" s="24"/>
      <x:c r="F29" s="24"/>
      <x:c r="G29" s="24"/>
      <x:c r="K29" s="26"/>
      <x:c r="L29" s="26"/>
      <x:c r="M29" s="26"/>
    </x:row>
    <x:row r="30">
      <x:c r="E30" s="24"/>
      <x:c r="F30" s="24"/>
      <x:c r="G30" s="24"/>
      <x:c r="K30" s="26"/>
      <x:c r="L30" s="26"/>
      <x:c r="M30" s="26"/>
    </x:row>
    <x:row r="31">
      <x:c r="E31" s="24"/>
      <x:c r="F31" s="24"/>
      <x:c r="G31" s="24"/>
      <x:c r="K31" s="26"/>
      <x:c r="L31" s="26"/>
      <x:c r="M31" s="26"/>
    </x:row>
    <x:row r="32">
      <x:c r="E32" s="24"/>
      <x:c r="F32" s="24"/>
      <x:c r="G32" s="24"/>
      <x:c r="K32" s="26"/>
      <x:c r="L32" s="26"/>
      <x:c r="M32" s="26"/>
    </x:row>
    <x:row r="33">
      <x:c r="E33" s="24"/>
      <x:c r="F33" s="24"/>
      <x:c r="G33" s="24"/>
      <x:c r="K33" s="26"/>
      <x:c r="L33" s="26"/>
      <x:c r="M33" s="26"/>
    </x:row>
    <x:row r="34">
      <x:c r="E34" s="24"/>
      <x:c r="F34" s="24"/>
      <x:c r="G34" s="24"/>
      <x:c r="K34" s="26"/>
      <x:c r="L34" s="26"/>
      <x:c r="M34" s="26"/>
    </x:row>
    <x:row r="35">
      <x:c r="E35" s="24"/>
      <x:c r="F35" s="24"/>
      <x:c r="G35" s="24"/>
      <x:c r="K35" s="26"/>
      <x:c r="L35" s="26"/>
      <x:c r="M35" s="26"/>
    </x:row>
    <x:row r="36">
      <x:c r="E36" s="24"/>
      <x:c r="F36" s="24"/>
      <x:c r="G36" s="24"/>
      <x:c r="K36" s="26"/>
      <x:c r="L36" s="26"/>
      <x:c r="M36" s="26"/>
    </x:row>
    <x:row r="37">
      <x:c r="E37" s="24"/>
      <x:c r="F37" s="24"/>
      <x:c r="G37" s="24"/>
      <x:c r="K37" s="26"/>
      <x:c r="L37" s="26"/>
      <x:c r="M37" s="26"/>
    </x:row>
    <x:row r="38">
      <x:c r="E38" s="24"/>
      <x:c r="F38" s="24"/>
      <x:c r="G38" s="24"/>
      <x:c r="K38" s="26"/>
      <x:c r="L38" s="26"/>
      <x:c r="M38" s="26"/>
    </x:row>
    <x:row r="39">
      <x:c r="E39" s="24"/>
      <x:c r="F39" s="24"/>
      <x:c r="G39" s="24"/>
      <x:c r="K39" s="26"/>
      <x:c r="L39" s="26"/>
      <x:c r="M39" s="26"/>
    </x:row>
    <x:row r="40">
      <x:c r="E40" s="24"/>
      <x:c r="F40" s="24"/>
      <x:c r="G40" s="24"/>
      <x:c r="K40" s="26"/>
      <x:c r="L40" s="26"/>
      <x:c r="M40" s="26"/>
    </x:row>
    <x:row r="41">
      <x:c r="E41" s="24"/>
      <x:c r="F41" s="24"/>
      <x:c r="G41" s="24"/>
      <x:c r="K41" s="26"/>
      <x:c r="L41" s="26"/>
      <x:c r="M41" s="26"/>
    </x:row>
    <x:row r="42">
      <x:c r="E42" s="24"/>
      <x:c r="F42" s="24"/>
      <x:c r="G42" s="24"/>
      <x:c r="K42" s="26"/>
      <x:c r="L42" s="26"/>
      <x:c r="M42" s="26"/>
    </x:row>
    <x:row r="43">
      <x:c r="E43" s="24"/>
      <x:c r="F43" s="24"/>
      <x:c r="G43" s="24"/>
      <x:c r="K43" s="26"/>
      <x:c r="L43" s="26"/>
      <x:c r="M43" s="26"/>
    </x:row>
    <x:row r="44">
      <x:c r="E44" s="24"/>
      <x:c r="F44" s="24"/>
      <x:c r="G44" s="24"/>
      <x:c r="K44" s="26"/>
      <x:c r="L44" s="26"/>
      <x:c r="M44" s="26"/>
    </x:row>
    <x:row r="45">
      <x:c r="E45" s="24"/>
      <x:c r="F45" s="24"/>
      <x:c r="G45" s="24"/>
      <x:c r="K45" s="26"/>
      <x:c r="L45" s="26"/>
      <x:c r="M45" s="26"/>
    </x:row>
    <x:row r="46">
      <x:c r="E46" s="24"/>
      <x:c r="F46" s="24"/>
      <x:c r="G46" s="24"/>
      <x:c r="K46" s="26"/>
      <x:c r="L46" s="26"/>
      <x:c r="M46" s="26"/>
    </x:row>
    <x:row r="47">
      <x:c r="E47" s="24"/>
      <x:c r="F47" s="24"/>
      <x:c r="G47" s="24"/>
      <x:c r="K47" s="26"/>
      <x:c r="L47" s="26"/>
      <x:c r="M47" s="26"/>
    </x:row>
    <x:row r="48">
      <x:c r="E48" s="24"/>
      <x:c r="F48" s="24"/>
      <x:c r="G48" s="24"/>
      <x:c r="K48" s="26"/>
      <x:c r="L48" s="26"/>
      <x:c r="M48" s="26"/>
    </x:row>
    <x:row r="49">
      <x:c r="E49" s="24"/>
      <x:c r="F49" s="24"/>
      <x:c r="G49" s="24"/>
      <x:c r="K49" s="26"/>
      <x:c r="L49" s="26"/>
      <x:c r="M49" s="26"/>
    </x:row>
    <x:row r="50">
      <x:c r="E50" s="24"/>
      <x:c r="F50" s="24"/>
      <x:c r="G50" s="24"/>
      <x:c r="K50" s="26"/>
      <x:c r="L50" s="26"/>
      <x:c r="M50" s="26"/>
    </x:row>
    <x:row r="51">
      <x:c r="E51" s="24"/>
      <x:c r="F51" s="24"/>
      <x:c r="G51" s="24"/>
      <x:c r="K51" s="26"/>
      <x:c r="L51" s="26"/>
      <x:c r="M51" s="26"/>
    </x:row>
    <x:row r="52">
      <x:c r="E52" s="24"/>
      <x:c r="F52" s="24"/>
      <x:c r="G52" s="24"/>
      <x:c r="K52" s="26"/>
      <x:c r="L52" s="26"/>
      <x:c r="M52" s="26"/>
    </x:row>
    <x:row r="53">
      <x:c r="E53" s="24"/>
      <x:c r="F53" s="24"/>
      <x:c r="G53" s="24"/>
      <x:c r="K53" s="26"/>
      <x:c r="L53" s="26"/>
      <x:c r="M53" s="26"/>
    </x:row>
    <x:row r="54">
      <x:c r="E54" s="24"/>
      <x:c r="F54" s="24"/>
      <x:c r="G54" s="24"/>
      <x:c r="K54" s="26"/>
      <x:c r="L54" s="26"/>
      <x:c r="M54" s="26"/>
    </x:row>
    <x:row r="55">
      <x:c r="E55" s="24"/>
      <x:c r="F55" s="24"/>
      <x:c r="G55" s="24"/>
      <x:c r="K55" s="26"/>
      <x:c r="L55" s="26"/>
      <x:c r="M55" s="26"/>
    </x:row>
    <x:row r="56">
      <x:c r="E56" s="24"/>
      <x:c r="F56" s="24"/>
      <x:c r="G56" s="24"/>
      <x:c r="K56" s="26"/>
      <x:c r="L56" s="26"/>
      <x:c r="M56" s="26"/>
    </x:row>
    <x:row r="57">
      <x:c r="E57" s="24"/>
      <x:c r="F57" s="24"/>
      <x:c r="G57" s="24"/>
      <x:c r="K57" s="26"/>
      <x:c r="L57" s="26"/>
      <x:c r="M57" s="26"/>
    </x:row>
    <x:row r="58">
      <x:c r="E58" s="24"/>
      <x:c r="F58" s="24"/>
      <x:c r="G58" s="24"/>
      <x:c r="K58" s="26"/>
      <x:c r="L58" s="26"/>
      <x:c r="M58" s="26"/>
    </x:row>
    <x:row r="59">
      <x:c r="E59" s="24"/>
      <x:c r="F59" s="24"/>
      <x:c r="G59" s="24"/>
      <x:c r="K59" s="26"/>
      <x:c r="L59" s="26"/>
      <x:c r="M59" s="26"/>
    </x:row>
    <x:row r="60">
      <x:c r="E60" s="24"/>
      <x:c r="F60" s="24"/>
      <x:c r="G60" s="24"/>
      <x:c r="K60" s="26"/>
      <x:c r="L60" s="26"/>
      <x:c r="M60" s="26"/>
    </x:row>
    <x:row r="61">
      <x:c r="E61" s="24"/>
      <x:c r="F61" s="24"/>
      <x:c r="G61" s="24"/>
      <x:c r="K61" s="26"/>
      <x:c r="L61" s="26"/>
      <x:c r="M61" s="26"/>
    </x:row>
    <x:row r="62">
      <x:c r="E62" s="24"/>
      <x:c r="F62" s="24"/>
      <x:c r="G62" s="24"/>
      <x:c r="K62" s="26"/>
      <x:c r="L62" s="26"/>
      <x:c r="M62" s="26"/>
    </x:row>
    <x:row r="63">
      <x:c r="E63" s="24"/>
      <x:c r="F63" s="24"/>
      <x:c r="G63" s="24"/>
      <x:c r="K63" s="26"/>
      <x:c r="L63" s="26"/>
      <x:c r="M63" s="26"/>
    </x:row>
    <x:row r="64">
      <x:c r="E64" s="24"/>
      <x:c r="F64" s="24"/>
      <x:c r="G64" s="24"/>
      <x:c r="K64" s="26"/>
      <x:c r="L64" s="26"/>
      <x:c r="M64" s="26"/>
    </x:row>
    <x:row r="65">
      <x:c r="E65" s="24"/>
      <x:c r="F65" s="24"/>
      <x:c r="G65" s="24"/>
      <x:c r="K65" s="26"/>
      <x:c r="L65" s="26"/>
      <x:c r="M65" s="26"/>
    </x:row>
    <x:row r="66">
      <x:c r="E66" s="24"/>
      <x:c r="F66" s="24"/>
      <x:c r="G66" s="24"/>
      <x:c r="K66" s="26"/>
      <x:c r="L66" s="26"/>
      <x:c r="M66" s="26"/>
    </x:row>
    <x:row r="67">
      <x:c r="E67" s="24"/>
      <x:c r="F67" s="24"/>
      <x:c r="G67" s="24"/>
      <x:c r="K67" s="26"/>
      <x:c r="L67" s="26"/>
      <x:c r="M67" s="26"/>
    </x:row>
    <x:row r="68">
      <x:c r="E68" s="24"/>
      <x:c r="F68" s="24"/>
      <x:c r="G68" s="24"/>
      <x:c r="K68" s="26"/>
      <x:c r="L68" s="26"/>
      <x:c r="M68" s="26"/>
    </x:row>
    <x:row r="69">
      <x:c r="E69" s="24"/>
      <x:c r="F69" s="24"/>
      <x:c r="G69" s="24"/>
      <x:c r="K69" s="26"/>
      <x:c r="L69" s="26"/>
      <x:c r="M69" s="26"/>
    </x:row>
    <x:row r="70">
      <x:c r="E70" s="24"/>
      <x:c r="F70" s="24"/>
      <x:c r="G70" s="24"/>
      <x:c r="K70" s="26"/>
      <x:c r="L70" s="26"/>
      <x:c r="M70" s="26"/>
    </x:row>
    <x:row r="71">
      <x:c r="E71" s="24"/>
      <x:c r="F71" s="24"/>
      <x:c r="G71" s="24"/>
      <x:c r="K71" s="26"/>
      <x:c r="L71" s="26"/>
      <x:c r="M71" s="26"/>
    </x:row>
    <x:row r="72">
      <x:c r="E72" s="24"/>
      <x:c r="F72" s="24"/>
      <x:c r="G72" s="24"/>
      <x:c r="K72" s="26"/>
      <x:c r="L72" s="26"/>
      <x:c r="M72" s="26"/>
    </x:row>
    <x:row r="73">
      <x:c r="E73" s="24"/>
      <x:c r="F73" s="24"/>
      <x:c r="G73" s="24"/>
      <x:c r="K73" s="26"/>
      <x:c r="L73" s="26"/>
      <x:c r="M73" s="26"/>
    </x:row>
    <x:row r="74">
      <x:c r="E74" s="24"/>
      <x:c r="F74" s="24"/>
      <x:c r="G74" s="24"/>
      <x:c r="K74" s="26"/>
      <x:c r="L74" s="26"/>
      <x:c r="M74" s="26"/>
    </x:row>
    <x:row r="75">
      <x:c r="E75" s="24"/>
      <x:c r="F75" s="24"/>
      <x:c r="G75" s="24"/>
      <x:c r="K75" s="26"/>
      <x:c r="L75" s="26"/>
      <x:c r="M75" s="26"/>
    </x:row>
    <x:row r="76">
      <x:c r="E76" s="24"/>
      <x:c r="F76" s="24"/>
      <x:c r="G76" s="24"/>
      <x:c r="K76" s="26"/>
      <x:c r="L76" s="26"/>
      <x:c r="M76" s="26"/>
    </x:row>
    <x:row r="77">
      <x:c r="E77" s="24"/>
      <x:c r="F77" s="24"/>
      <x:c r="G77" s="24"/>
      <x:c r="K77" s="26"/>
      <x:c r="L77" s="26"/>
      <x:c r="M77" s="26"/>
    </x:row>
    <x:row r="78">
      <x:c r="E78" s="24"/>
      <x:c r="F78" s="24"/>
      <x:c r="G78" s="24"/>
      <x:c r="K78" s="26"/>
      <x:c r="L78" s="26"/>
      <x:c r="M78" s="26"/>
    </x:row>
    <x:row r="79">
      <x:c r="E79" s="24"/>
      <x:c r="F79" s="24"/>
      <x:c r="G79" s="24"/>
      <x:c r="K79" s="26"/>
      <x:c r="L79" s="26"/>
      <x:c r="M79" s="26"/>
    </x:row>
    <x:row r="80">
      <x:c r="E80" s="24"/>
      <x:c r="F80" s="24"/>
      <x:c r="G80" s="24"/>
      <x:c r="K80" s="26"/>
      <x:c r="L80" s="26"/>
      <x:c r="M80" s="26"/>
    </x:row>
    <x:row r="81">
      <x:c r="E81" s="24"/>
      <x:c r="F81" s="24"/>
      <x:c r="G81" s="24"/>
      <x:c r="K81" s="26"/>
      <x:c r="L81" s="26"/>
      <x:c r="M81" s="26"/>
    </x:row>
    <x:row r="82">
      <x:c r="E82" s="24"/>
      <x:c r="F82" s="24"/>
      <x:c r="G82" s="24"/>
      <x:c r="K82" s="26"/>
      <x:c r="L82" s="26"/>
      <x:c r="M82" s="26"/>
    </x:row>
    <x:row r="83">
      <x:c r="E83" s="24"/>
      <x:c r="F83" s="24"/>
      <x:c r="G83" s="24"/>
      <x:c r="K83" s="26"/>
      <x:c r="L83" s="26"/>
      <x:c r="M83" s="26"/>
    </x:row>
    <x:row r="84">
      <x:c r="E84" s="24"/>
      <x:c r="F84" s="24"/>
      <x:c r="G84" s="24"/>
      <x:c r="K84" s="26"/>
      <x:c r="L84" s="26"/>
      <x:c r="M84" s="26"/>
    </x:row>
    <x:row r="85">
      <x:c r="E85" s="24"/>
      <x:c r="F85" s="24"/>
      <x:c r="G85" s="24"/>
      <x:c r="K85" s="26"/>
      <x:c r="L85" s="26"/>
      <x:c r="M85" s="26"/>
    </x:row>
    <x:row r="86">
      <x:c r="E86" s="24"/>
      <x:c r="F86" s="24"/>
      <x:c r="G86" s="24"/>
      <x:c r="K86" s="26"/>
      <x:c r="L86" s="26"/>
      <x:c r="M86" s="26"/>
    </x:row>
    <x:row r="87">
      <x:c r="E87" s="24"/>
      <x:c r="F87" s="24"/>
      <x:c r="G87" s="24"/>
      <x:c r="K87" s="26"/>
      <x:c r="L87" s="26"/>
      <x:c r="M87" s="26"/>
    </x:row>
    <x:row r="88">
      <x:c r="E88" s="24"/>
      <x:c r="F88" s="24"/>
      <x:c r="G88" s="24"/>
      <x:c r="K88" s="26"/>
      <x:c r="L88" s="26"/>
      <x:c r="M88" s="26"/>
    </x:row>
    <x:row r="89">
      <x:c r="E89" s="24"/>
      <x:c r="F89" s="24"/>
      <x:c r="G89" s="24"/>
      <x:c r="K89" s="26"/>
      <x:c r="L89" s="26"/>
      <x:c r="M89" s="26"/>
    </x:row>
    <x:row r="90">
      <x:c r="E90" s="24"/>
      <x:c r="F90" s="24"/>
      <x:c r="G90" s="24"/>
      <x:c r="K90" s="26"/>
      <x:c r="L90" s="26"/>
      <x:c r="M90" s="26"/>
    </x:row>
    <x:row r="91">
      <x:c r="E91" s="24"/>
      <x:c r="F91" s="24"/>
      <x:c r="G91" s="24"/>
      <x:c r="K91" s="26"/>
      <x:c r="L91" s="26"/>
      <x:c r="M91" s="26"/>
    </x:row>
    <x:row r="92">
      <x:c r="E92" s="24"/>
      <x:c r="F92" s="24"/>
      <x:c r="G92" s="24"/>
      <x:c r="K92" s="26"/>
      <x:c r="L92" s="26"/>
      <x:c r="M92" s="26"/>
    </x:row>
    <x:row r="93">
      <x:c r="E93" s="24"/>
      <x:c r="F93" s="24"/>
      <x:c r="G93" s="24"/>
      <x:c r="K93" s="26"/>
      <x:c r="L93" s="26"/>
      <x:c r="M93" s="26"/>
    </x:row>
    <x:row r="94">
      <x:c r="E94" s="24"/>
      <x:c r="F94" s="24"/>
      <x:c r="G94" s="24"/>
      <x:c r="K94" s="26"/>
      <x:c r="L94" s="26"/>
      <x:c r="M94" s="26"/>
    </x:row>
    <x:row r="95">
      <x:c r="E95" s="24"/>
      <x:c r="F95" s="24"/>
      <x:c r="G95" s="24"/>
      <x:c r="K95" s="26"/>
      <x:c r="L95" s="26"/>
      <x:c r="M95" s="26"/>
    </x:row>
    <x:row r="96">
      <x:c r="E96" s="24"/>
      <x:c r="F96" s="24"/>
      <x:c r="G96" s="24"/>
      <x:c r="K96" s="26"/>
      <x:c r="L96" s="26"/>
      <x:c r="M96" s="26"/>
    </x:row>
    <x:row r="97">
      <x:c r="E97" s="24"/>
      <x:c r="F97" s="24"/>
      <x:c r="G97" s="24"/>
      <x:c r="K97" s="26"/>
      <x:c r="L97" s="26"/>
      <x:c r="M97" s="26"/>
    </x:row>
    <x:row r="98">
      <x:c r="E98" s="24"/>
      <x:c r="F98" s="24"/>
      <x:c r="G98" s="24"/>
      <x:c r="K98" s="26"/>
      <x:c r="L98" s="26"/>
      <x:c r="M98" s="26"/>
    </x:row>
    <x:row r="99">
      <x:c r="E99" s="24"/>
      <x:c r="F99" s="24"/>
      <x:c r="G99" s="24"/>
      <x:c r="K99" s="26"/>
      <x:c r="L99" s="26"/>
      <x:c r="M99" s="26"/>
    </x:row>
    <x:row r="100">
      <x:c r="E100" s="24"/>
      <x:c r="F100" s="24"/>
      <x:c r="G100" s="24"/>
      <x:c r="K100" s="26"/>
      <x:c r="L100" s="26"/>
      <x:c r="M100" s="26"/>
    </x:row>
    <x:row r="101">
      <x:c r="E101" s="24"/>
      <x:c r="F101" s="24"/>
      <x:c r="G101" s="24"/>
      <x:c r="K101" s="26"/>
      <x:c r="L101" s="26"/>
      <x:c r="M101" s="26"/>
    </x:row>
    <x:row r="102">
      <x:c r="E102" s="24"/>
      <x:c r="F102" s="24"/>
      <x:c r="G102" s="24"/>
      <x:c r="K102" s="26"/>
      <x:c r="L102" s="26"/>
      <x:c r="M102" s="26"/>
    </x:row>
    <x:row r="103">
      <x:c r="E103" s="24"/>
      <x:c r="F103" s="24"/>
      <x:c r="G103" s="24"/>
      <x:c r="K103" s="26"/>
      <x:c r="L103" s="26"/>
      <x:c r="M103" s="26"/>
    </x:row>
    <x:row r="104">
      <x:c r="E104" s="24"/>
      <x:c r="F104" s="24"/>
      <x:c r="G104" s="24"/>
      <x:c r="K104" s="26"/>
      <x:c r="L104" s="26"/>
      <x:c r="M104" s="26"/>
    </x:row>
    <x:row r="105">
      <x:c r="E105" s="24"/>
      <x:c r="F105" s="24"/>
      <x:c r="G105" s="24"/>
      <x:c r="K105" s="26"/>
      <x:c r="L105" s="26"/>
      <x:c r="M105" s="26"/>
    </x:row>
    <x:row r="106">
      <x:c r="E106" s="24"/>
      <x:c r="F106" s="24"/>
      <x:c r="G106" s="24"/>
      <x:c r="K106" s="26"/>
      <x:c r="L106" s="26"/>
      <x:c r="M106" s="26"/>
    </x:row>
    <x:row r="107">
      <x:c r="E107" s="24"/>
      <x:c r="F107" s="24"/>
      <x:c r="G107" s="24"/>
      <x:c r="K107" s="26"/>
      <x:c r="L107" s="26"/>
      <x:c r="M107" s="26"/>
    </x:row>
    <x:row r="108">
      <x:c r="E108" s="24"/>
      <x:c r="F108" s="24"/>
      <x:c r="G108" s="24"/>
      <x:c r="K108" s="26"/>
      <x:c r="L108" s="26"/>
      <x:c r="M108" s="26"/>
    </x:row>
    <x:row r="109">
      <x:c r="E109" s="24"/>
      <x:c r="F109" s="24"/>
      <x:c r="G109" s="24"/>
      <x:c r="K109" s="26"/>
      <x:c r="L109" s="26"/>
      <x:c r="M109" s="26"/>
    </x:row>
    <x:row r="110">
      <x:c r="E110" s="24"/>
      <x:c r="F110" s="24"/>
      <x:c r="G110" s="24"/>
      <x:c r="K110" s="26"/>
      <x:c r="L110" s="26"/>
      <x:c r="M110" s="26"/>
    </x:row>
    <x:row r="111">
      <x:c r="E111" s="24"/>
      <x:c r="F111" s="24"/>
      <x:c r="G111" s="24"/>
      <x:c r="K111" s="26"/>
      <x:c r="L111" s="26"/>
      <x:c r="M111" s="26"/>
    </x:row>
    <x:row r="112">
      <x:c r="E112" s="24"/>
      <x:c r="F112" s="24"/>
      <x:c r="G112" s="24"/>
      <x:c r="K112" s="26"/>
      <x:c r="L112" s="26"/>
      <x:c r="M112" s="26"/>
    </x:row>
    <x:row r="113">
      <x:c r="E113" s="24"/>
      <x:c r="F113" s="24"/>
      <x:c r="G113" s="24"/>
      <x:c r="K113" s="26"/>
      <x:c r="L113" s="26"/>
      <x:c r="M113" s="26"/>
    </x:row>
    <x:row r="114">
      <x:c r="E114" s="24"/>
      <x:c r="F114" s="24"/>
      <x:c r="G114" s="24"/>
      <x:c r="K114" s="26"/>
      <x:c r="L114" s="26"/>
      <x:c r="M114" s="26"/>
    </x:row>
    <x:row r="115">
      <x:c r="E115" s="24"/>
      <x:c r="F115" s="24"/>
      <x:c r="G115" s="24"/>
      <x:c r="K115" s="26"/>
      <x:c r="L115" s="26"/>
      <x:c r="M115" s="26"/>
    </x:row>
    <x:row r="116">
      <x:c r="E116" s="24"/>
      <x:c r="F116" s="24"/>
      <x:c r="G116" s="24"/>
      <x:c r="K116" s="26"/>
      <x:c r="L116" s="26"/>
      <x:c r="M116" s="26"/>
    </x:row>
    <x:row r="117">
      <x:c r="E117" s="24"/>
      <x:c r="F117" s="24"/>
      <x:c r="G117" s="24"/>
      <x:c r="K117" s="26"/>
      <x:c r="L117" s="26"/>
      <x:c r="M117" s="26"/>
    </x:row>
    <x:row r="118">
      <x:c r="E118" s="24"/>
      <x:c r="F118" s="24"/>
      <x:c r="G118" s="24"/>
      <x:c r="K118" s="26"/>
      <x:c r="L118" s="26"/>
      <x:c r="M118" s="26"/>
    </x:row>
    <x:row r="119">
      <x:c r="E119" s="24"/>
      <x:c r="F119" s="24"/>
      <x:c r="G119" s="24"/>
      <x:c r="K119" s="26"/>
      <x:c r="L119" s="26"/>
      <x:c r="M119" s="26"/>
    </x:row>
    <x:row r="120">
      <x:c r="E120" s="24"/>
      <x:c r="F120" s="24"/>
      <x:c r="G120" s="24"/>
      <x:c r="K120" s="26"/>
      <x:c r="L120" s="26"/>
      <x:c r="M120" s="26"/>
    </x:row>
    <x:row r="121">
      <x:c r="E121" s="24"/>
      <x:c r="F121" s="24"/>
      <x:c r="G121" s="24"/>
      <x:c r="K121" s="26"/>
      <x:c r="L121" s="26"/>
      <x:c r="M121" s="26"/>
    </x:row>
    <x:row r="122">
      <x:c r="E122" s="24"/>
      <x:c r="F122" s="24"/>
      <x:c r="G122" s="24"/>
      <x:c r="K122" s="26"/>
      <x:c r="L122" s="26"/>
      <x:c r="M122" s="26"/>
    </x:row>
    <x:row r="123">
      <x:c r="E123" s="24"/>
      <x:c r="F123" s="24"/>
      <x:c r="G123" s="24"/>
      <x:c r="K123" s="26"/>
      <x:c r="L123" s="26"/>
      <x:c r="M123" s="26"/>
    </x:row>
    <x:row r="124">
      <x:c r="E124" s="24"/>
      <x:c r="F124" s="24"/>
      <x:c r="G124" s="24"/>
      <x:c r="K124" s="26"/>
      <x:c r="L124" s="26"/>
      <x:c r="M124" s="26"/>
    </x:row>
    <x:row r="125">
      <x:c r="E125" s="24"/>
      <x:c r="F125" s="24"/>
      <x:c r="G125" s="24"/>
      <x:c r="K125" s="26"/>
      <x:c r="L125" s="26"/>
      <x:c r="M125" s="26"/>
    </x:row>
    <x:row r="126">
      <x:c r="E126" s="24"/>
      <x:c r="F126" s="24"/>
      <x:c r="G126" s="24"/>
      <x:c r="K126" s="26"/>
      <x:c r="L126" s="26"/>
      <x:c r="M126" s="26"/>
    </x:row>
    <x:row r="127">
      <x:c r="E127" s="24"/>
      <x:c r="F127" s="24"/>
      <x:c r="G127" s="24"/>
      <x:c r="K127" s="26"/>
      <x:c r="L127" s="26"/>
      <x:c r="M127" s="26"/>
    </x:row>
    <x:row r="128">
      <x:c r="E128" s="24"/>
      <x:c r="F128" s="24"/>
      <x:c r="G128" s="24"/>
      <x:c r="K128" s="26"/>
      <x:c r="L128" s="26"/>
      <x:c r="M128" s="26"/>
    </x:row>
    <x:row r="129">
      <x:c r="E129" s="24"/>
      <x:c r="F129" s="24"/>
      <x:c r="G129" s="24"/>
      <x:c r="K129" s="26"/>
      <x:c r="L129" s="26"/>
      <x:c r="M129" s="26"/>
    </x:row>
    <x:row r="130">
      <x:c r="E130" s="24"/>
      <x:c r="F130" s="24"/>
      <x:c r="G130" s="24"/>
      <x:c r="K130" s="26"/>
      <x:c r="L130" s="26"/>
      <x:c r="M130" s="26"/>
    </x:row>
    <x:row r="131">
      <x:c r="E131" s="24"/>
      <x:c r="F131" s="24"/>
      <x:c r="G131" s="24"/>
      <x:c r="K131" s="26"/>
      <x:c r="L131" s="26"/>
      <x:c r="M131" s="26"/>
    </x:row>
    <x:row r="132">
      <x:c r="E132" s="24"/>
      <x:c r="F132" s="24"/>
      <x:c r="G132" s="24"/>
      <x:c r="K132" s="26"/>
      <x:c r="L132" s="26"/>
      <x:c r="M132" s="26"/>
    </x:row>
    <x:row r="133">
      <x:c r="E133" s="24"/>
      <x:c r="F133" s="24"/>
      <x:c r="G133" s="24"/>
      <x:c r="K133" s="26"/>
      <x:c r="L133" s="26"/>
      <x:c r="M133" s="26"/>
    </x:row>
    <x:row r="134">
      <x:c r="E134" s="24"/>
      <x:c r="F134" s="24"/>
      <x:c r="G134" s="24"/>
      <x:c r="K134" s="26"/>
      <x:c r="L134" s="26"/>
      <x:c r="M134" s="26"/>
    </x:row>
    <x:row r="135">
      <x:c r="E135" s="24"/>
      <x:c r="F135" s="24"/>
      <x:c r="G135" s="24"/>
      <x:c r="K135" s="26"/>
      <x:c r="L135" s="26"/>
      <x:c r="M135" s="26"/>
    </x:row>
    <x:row r="136">
      <x:c r="E136" s="24"/>
      <x:c r="F136" s="24"/>
      <x:c r="G136" s="24"/>
      <x:c r="K136" s="26"/>
      <x:c r="L136" s="26"/>
      <x:c r="M136" s="26"/>
    </x:row>
    <x:row r="137">
      <x:c r="E137" s="24"/>
      <x:c r="F137" s="24"/>
      <x:c r="G137" s="24"/>
      <x:c r="K137" s="26"/>
      <x:c r="L137" s="26"/>
      <x:c r="M137" s="26"/>
    </x:row>
    <x:row r="138">
      <x:c r="E138" s="24"/>
      <x:c r="F138" s="24"/>
      <x:c r="G138" s="24"/>
      <x:c r="K138" s="26"/>
      <x:c r="L138" s="26"/>
      <x:c r="M138" s="26"/>
    </x:row>
    <x:row r="139">
      <x:c r="E139" s="24"/>
      <x:c r="F139" s="24"/>
      <x:c r="G139" s="24"/>
      <x:c r="K139" s="26"/>
      <x:c r="L139" s="26"/>
      <x:c r="M139" s="26"/>
    </x:row>
    <x:row r="140">
      <x:c r="E140" s="24"/>
      <x:c r="F140" s="24"/>
      <x:c r="G140" s="24"/>
      <x:c r="K140" s="26"/>
      <x:c r="L140" s="26"/>
      <x:c r="M140" s="26"/>
    </x:row>
    <x:row r="141">
      <x:c r="E141" s="24"/>
      <x:c r="F141" s="24"/>
      <x:c r="G141" s="24"/>
      <x:c r="K141" s="26"/>
      <x:c r="L141" s="26"/>
      <x:c r="M141" s="26"/>
    </x:row>
    <x:row r="142">
      <x:c r="E142" s="24"/>
      <x:c r="F142" s="24"/>
      <x:c r="G142" s="24"/>
      <x:c r="K142" s="26"/>
      <x:c r="L142" s="26"/>
      <x:c r="M142" s="26"/>
    </x:row>
    <x:row r="143">
      <x:c r="E143" s="24"/>
      <x:c r="F143" s="24"/>
      <x:c r="G143" s="24"/>
      <x:c r="K143" s="26"/>
      <x:c r="L143" s="26"/>
      <x:c r="M143" s="26"/>
    </x:row>
    <x:row r="144">
      <x:c r="E144" s="24"/>
      <x:c r="F144" s="24"/>
      <x:c r="G144" s="24"/>
      <x:c r="K144" s="26"/>
      <x:c r="L144" s="26"/>
      <x:c r="M144" s="26"/>
    </x:row>
    <x:row r="145">
      <x:c r="E145" s="24"/>
      <x:c r="F145" s="24"/>
      <x:c r="G145" s="24"/>
      <x:c r="K145" s="26"/>
      <x:c r="L145" s="26"/>
      <x:c r="M145" s="26"/>
    </x:row>
    <x:row r="146">
      <x:c r="E146" s="24"/>
      <x:c r="F146" s="24"/>
      <x:c r="G146" s="24"/>
      <x:c r="K146" s="26"/>
      <x:c r="L146" s="26"/>
      <x:c r="M146" s="26"/>
    </x:row>
    <x:row r="147">
      <x:c r="E147" s="24"/>
      <x:c r="F147" s="24"/>
      <x:c r="G147" s="24"/>
      <x:c r="K147" s="26"/>
      <x:c r="L147" s="26"/>
      <x:c r="M147" s="26"/>
    </x:row>
    <x:row r="148">
      <x:c r="E148" s="24"/>
      <x:c r="F148" s="24"/>
      <x:c r="G148" s="24"/>
      <x:c r="K148" s="26"/>
      <x:c r="L148" s="26"/>
      <x:c r="M148" s="26"/>
    </x:row>
    <x:row r="149">
      <x:c r="E149" s="24"/>
      <x:c r="F149" s="24"/>
      <x:c r="G149" s="24"/>
      <x:c r="K149" s="26"/>
      <x:c r="L149" s="26"/>
      <x:c r="M149" s="26"/>
    </x:row>
    <x:row r="150">
      <x:c r="E150" s="24"/>
      <x:c r="F150" s="24"/>
      <x:c r="G150" s="24"/>
      <x:c r="K150" s="26"/>
      <x:c r="L150" s="26"/>
      <x:c r="M150" s="26"/>
    </x:row>
    <x:row r="151">
      <x:c r="E151" s="24"/>
      <x:c r="F151" s="24"/>
      <x:c r="G151" s="24"/>
      <x:c r="K151" s="26"/>
      <x:c r="L151" s="26"/>
      <x:c r="M151" s="26"/>
    </x:row>
    <x:row r="152">
      <x:c r="E152" s="24"/>
      <x:c r="F152" s="24"/>
      <x:c r="G152" s="24"/>
      <x:c r="K152" s="26"/>
      <x:c r="L152" s="26"/>
      <x:c r="M152" s="26"/>
    </x:row>
    <x:row r="153">
      <x:c r="E153" s="24"/>
      <x:c r="F153" s="24"/>
      <x:c r="G153" s="24"/>
      <x:c r="K153" s="26"/>
      <x:c r="L153" s="26"/>
      <x:c r="M153" s="26"/>
    </x:row>
    <x:row r="154">
      <x:c r="E154" s="24"/>
      <x:c r="F154" s="24"/>
      <x:c r="G154" s="24"/>
      <x:c r="K154" s="26"/>
      <x:c r="L154" s="26"/>
      <x:c r="M154" s="26"/>
    </x:row>
    <x:row r="155">
      <x:c r="E155" s="24"/>
      <x:c r="F155" s="24"/>
      <x:c r="G155" s="24"/>
      <x:c r="K155" s="26"/>
      <x:c r="L155" s="26"/>
      <x:c r="M155" s="26"/>
    </x:row>
    <x:row r="156">
      <x:c r="E156" s="24"/>
      <x:c r="F156" s="24"/>
      <x:c r="G156" s="24"/>
      <x:c r="K156" s="26"/>
      <x:c r="L156" s="26"/>
      <x:c r="M156" s="26"/>
    </x:row>
    <x:row r="157">
      <x:c r="E157" s="24"/>
      <x:c r="F157" s="24"/>
      <x:c r="G157" s="24"/>
      <x:c r="K157" s="26"/>
      <x:c r="L157" s="26"/>
      <x:c r="M157" s="26"/>
    </x:row>
    <x:row r="158">
      <x:c r="E158" s="24"/>
      <x:c r="F158" s="24"/>
      <x:c r="G158" s="24"/>
      <x:c r="K158" s="26"/>
      <x:c r="L158" s="26"/>
      <x:c r="M158" s="26"/>
    </x:row>
    <x:row r="159">
      <x:c r="E159" s="24"/>
      <x:c r="F159" s="24"/>
      <x:c r="G159" s="24"/>
      <x:c r="K159" s="26"/>
      <x:c r="L159" s="26"/>
      <x:c r="M159" s="26"/>
    </x:row>
    <x:row r="160">
      <x:c r="E160" s="24"/>
      <x:c r="F160" s="24"/>
      <x:c r="G160" s="24"/>
      <x:c r="K160" s="26"/>
      <x:c r="L160" s="26"/>
      <x:c r="M160" s="26"/>
    </x:row>
    <x:row r="161">
      <x:c r="E161" s="24"/>
      <x:c r="F161" s="24"/>
      <x:c r="G161" s="24"/>
      <x:c r="K161" s="26"/>
      <x:c r="L161" s="26"/>
      <x:c r="M161" s="26"/>
    </x:row>
    <x:row r="162">
      <x:c r="E162" s="24"/>
      <x:c r="F162" s="24"/>
      <x:c r="G162" s="24"/>
      <x:c r="K162" s="26"/>
      <x:c r="L162" s="26"/>
      <x:c r="M162" s="26"/>
    </x:row>
    <x:row r="163">
      <x:c r="E163" s="24"/>
      <x:c r="F163" s="24"/>
      <x:c r="G163" s="24"/>
      <x:c r="K163" s="26"/>
      <x:c r="L163" s="26"/>
      <x:c r="M163" s="26"/>
    </x:row>
    <x:row r="164">
      <x:c r="E164" s="24"/>
      <x:c r="F164" s="24"/>
      <x:c r="G164" s="24"/>
      <x:c r="K164" s="26"/>
      <x:c r="L164" s="26"/>
      <x:c r="M164" s="26"/>
    </x:row>
    <x:row r="165">
      <x:c r="E165" s="24"/>
      <x:c r="F165" s="24"/>
      <x:c r="G165" s="24"/>
      <x:c r="K165" s="26"/>
      <x:c r="L165" s="26"/>
      <x:c r="M165" s="26"/>
    </x:row>
    <x:row r="166">
      <x:c r="E166" s="24"/>
      <x:c r="F166" s="24"/>
      <x:c r="G166" s="24"/>
      <x:c r="K166" s="26"/>
      <x:c r="L166" s="26"/>
      <x:c r="M166" s="26"/>
    </x:row>
    <x:row r="167">
      <x:c r="E167" s="24"/>
      <x:c r="F167" s="24"/>
      <x:c r="G167" s="24"/>
      <x:c r="K167" s="26"/>
      <x:c r="L167" s="26"/>
      <x:c r="M167" s="26"/>
    </x:row>
    <x:row r="168">
      <x:c r="E168" s="24"/>
      <x:c r="F168" s="24"/>
      <x:c r="G168" s="24"/>
      <x:c r="K168" s="26"/>
      <x:c r="L168" s="26"/>
      <x:c r="M168" s="26"/>
    </x:row>
    <x:row r="169">
      <x:c r="E169" s="24"/>
      <x:c r="F169" s="24"/>
      <x:c r="G169" s="24"/>
      <x:c r="K169" s="26"/>
      <x:c r="L169" s="26"/>
      <x:c r="M169" s="26"/>
    </x:row>
    <x:row r="170">
      <x:c r="E170" s="24"/>
      <x:c r="F170" s="24"/>
      <x:c r="G170" s="24"/>
      <x:c r="K170" s="26"/>
      <x:c r="L170" s="26"/>
      <x:c r="M170" s="26"/>
    </x:row>
    <x:row r="171">
      <x:c r="E171" s="24"/>
      <x:c r="F171" s="24"/>
      <x:c r="G171" s="24"/>
      <x:c r="K171" s="26"/>
      <x:c r="L171" s="26"/>
      <x:c r="M171" s="26"/>
    </x:row>
    <x:row r="172">
      <x:c r="E172" s="24"/>
      <x:c r="F172" s="24"/>
      <x:c r="G172" s="24"/>
      <x:c r="K172" s="26"/>
      <x:c r="L172" s="26"/>
      <x:c r="M172" s="26"/>
    </x:row>
    <x:row r="173">
      <x:c r="E173" s="24"/>
      <x:c r="F173" s="24"/>
      <x:c r="G173" s="24"/>
      <x:c r="K173" s="26"/>
      <x:c r="L173" s="26"/>
      <x:c r="M173" s="26"/>
    </x:row>
    <x:row r="174">
      <x:c r="E174" s="24"/>
      <x:c r="F174" s="24"/>
      <x:c r="G174" s="24"/>
      <x:c r="K174" s="26"/>
      <x:c r="L174" s="26"/>
      <x:c r="M174" s="26"/>
    </x:row>
    <x:row r="175">
      <x:c r="E175" s="24"/>
      <x:c r="F175" s="24"/>
      <x:c r="G175" s="24"/>
      <x:c r="K175" s="26"/>
      <x:c r="L175" s="26"/>
      <x:c r="M175" s="26"/>
    </x:row>
    <x:row r="176">
      <x:c r="E176" s="24"/>
      <x:c r="F176" s="24"/>
      <x:c r="G176" s="24"/>
      <x:c r="K176" s="26"/>
      <x:c r="L176" s="26"/>
      <x:c r="M176" s="26"/>
    </x:row>
    <x:row r="177">
      <x:c r="E177" s="24"/>
      <x:c r="F177" s="24"/>
      <x:c r="G177" s="24"/>
      <x:c r="K177" s="26"/>
      <x:c r="L177" s="26"/>
      <x:c r="M177" s="26"/>
    </x:row>
    <x:row r="178">
      <x:c r="E178" s="24"/>
      <x:c r="F178" s="24"/>
      <x:c r="G178" s="24"/>
      <x:c r="K178" s="26"/>
      <x:c r="L178" s="26"/>
      <x:c r="M178" s="26"/>
    </x:row>
    <x:row r="179">
      <x:c r="E179" s="24"/>
      <x:c r="F179" s="24"/>
      <x:c r="G179" s="24"/>
      <x:c r="K179" s="26"/>
      <x:c r="L179" s="26"/>
      <x:c r="M179" s="26"/>
    </x:row>
    <x:row r="180">
      <x:c r="E180" s="24"/>
      <x:c r="F180" s="24"/>
      <x:c r="G180" s="24"/>
      <x:c r="K180" s="26"/>
      <x:c r="L180" s="26"/>
      <x:c r="M180" s="26"/>
    </x:row>
    <x:row r="181">
      <x:c r="E181" s="24"/>
      <x:c r="F181" s="24"/>
      <x:c r="G181" s="24"/>
      <x:c r="K181" s="26"/>
      <x:c r="L181" s="26"/>
      <x:c r="M181" s="26"/>
    </x:row>
    <x:row r="182">
      <x:c r="E182" s="24"/>
      <x:c r="F182" s="24"/>
      <x:c r="G182" s="24"/>
      <x:c r="K182" s="26"/>
      <x:c r="L182" s="26"/>
      <x:c r="M182" s="26"/>
    </x:row>
    <x:row r="183">
      <x:c r="E183" s="24"/>
      <x:c r="F183" s="24"/>
      <x:c r="G183" s="24"/>
      <x:c r="K183" s="26"/>
      <x:c r="L183" s="26"/>
      <x:c r="M183" s="26"/>
    </x:row>
    <x:row r="184">
      <x:c r="E184" s="24"/>
      <x:c r="F184" s="24"/>
      <x:c r="G184" s="24"/>
      <x:c r="K184" s="26"/>
      <x:c r="L184" s="26"/>
      <x:c r="M184" s="26"/>
    </x:row>
    <x:row r="185">
      <x:c r="E185" s="24"/>
      <x:c r="F185" s="24"/>
      <x:c r="G185" s="24"/>
      <x:c r="K185" s="26"/>
      <x:c r="L185" s="26"/>
      <x:c r="M185" s="26"/>
    </x:row>
    <x:row r="186">
      <x:c r="E186" s="24"/>
      <x:c r="F186" s="24"/>
      <x:c r="G186" s="24"/>
      <x:c r="K186" s="26"/>
      <x:c r="L186" s="26"/>
      <x:c r="M186" s="26"/>
    </x:row>
    <x:row r="187">
      <x:c r="E187" s="24"/>
      <x:c r="F187" s="24"/>
      <x:c r="G187" s="24"/>
      <x:c r="K187" s="26"/>
      <x:c r="L187" s="26"/>
      <x:c r="M187" s="26"/>
    </x:row>
    <x:row r="188">
      <x:c r="E188" s="24"/>
      <x:c r="F188" s="24"/>
      <x:c r="G188" s="24"/>
      <x:c r="K188" s="26"/>
      <x:c r="L188" s="26"/>
      <x:c r="M188" s="26"/>
    </x:row>
    <x:row r="189">
      <x:c r="E189" s="24"/>
      <x:c r="F189" s="24"/>
      <x:c r="G189" s="24"/>
      <x:c r="K189" s="26"/>
      <x:c r="L189" s="26"/>
      <x:c r="M189" s="26"/>
    </x:row>
    <x:row r="190">
      <x:c r="E190" s="24"/>
      <x:c r="F190" s="24"/>
      <x:c r="G190" s="24"/>
      <x:c r="K190" s="26"/>
      <x:c r="L190" s="26"/>
      <x:c r="M190" s="26"/>
    </x:row>
    <x:row r="191">
      <x:c r="E191" s="24"/>
      <x:c r="F191" s="24"/>
      <x:c r="G191" s="24"/>
      <x:c r="K191" s="26"/>
      <x:c r="L191" s="26"/>
      <x:c r="M191" s="26"/>
    </x:row>
    <x:row r="192">
      <x:c r="E192" s="24"/>
      <x:c r="F192" s="24"/>
      <x:c r="G192" s="24"/>
      <x:c r="K192" s="26"/>
      <x:c r="L192" s="26"/>
      <x:c r="M192" s="26"/>
    </x:row>
    <x:row r="193">
      <x:c r="E193" s="24"/>
      <x:c r="F193" s="24"/>
      <x:c r="G193" s="24"/>
      <x:c r="K193" s="26"/>
      <x:c r="L193" s="26"/>
      <x:c r="M193" s="26"/>
    </x:row>
    <x:row r="194">
      <x:c r="E194" s="24"/>
      <x:c r="F194" s="24"/>
      <x:c r="G194" s="24"/>
      <x:c r="K194" s="26"/>
      <x:c r="L194" s="26"/>
      <x:c r="M194" s="26"/>
    </x:row>
    <x:row r="195">
      <x:c r="E195" s="24"/>
      <x:c r="F195" s="24"/>
      <x:c r="G195" s="24"/>
      <x:c r="K195" s="26"/>
      <x:c r="L195" s="26"/>
      <x:c r="M195" s="26"/>
    </x:row>
    <x:row r="196">
      <x:c r="E196" s="24"/>
      <x:c r="F196" s="24"/>
      <x:c r="G196" s="24"/>
      <x:c r="K196" s="26"/>
      <x:c r="L196" s="26"/>
      <x:c r="M196" s="26"/>
    </x:row>
    <x:row r="197">
      <x:c r="E197" s="24"/>
      <x:c r="F197" s="24"/>
      <x:c r="G197" s="24"/>
      <x:c r="K197" s="26"/>
      <x:c r="L197" s="26"/>
      <x:c r="M197" s="26"/>
    </x:row>
    <x:row r="198">
      <x:c r="E198" s="24"/>
      <x:c r="F198" s="24"/>
      <x:c r="G198" s="24"/>
      <x:c r="K198" s="26"/>
      <x:c r="L198" s="26"/>
      <x:c r="M198" s="26"/>
    </x:row>
    <x:row r="199">
      <x:c r="E199" s="24"/>
      <x:c r="F199" s="24"/>
      <x:c r="G199" s="24"/>
      <x:c r="K199" s="26"/>
      <x:c r="L199" s="26"/>
      <x:c r="M199" s="26"/>
    </x:row>
    <x:row r="200">
      <x:c r="E200" s="24"/>
      <x:c r="F200" s="24"/>
      <x:c r="G200" s="24"/>
      <x:c r="K200" s="26"/>
      <x:c r="L200" s="26"/>
      <x:c r="M200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28" hidden="0" customWidth="1"/>
    <x:col min="5" max="5" width="16" hidden="0" customWidth="1"/>
    <x:col min="6" max="6" width="34" hidden="0" customWidth="1"/>
  </x:cols>
  <x:sheetData>
    <x:row r="1">
      <x:c r="A1" s="12" t="str">
        <x:v>Referencia</x:v>
      </x:c>
      <x:c r="B1" s="12" t="str">
        <x:v>Nombre</x:v>
      </x:c>
      <x:c r="C1" s="12" t="str">
        <x:v>Activo</x:v>
      </x:c>
      <x:c r="D1" s="12" t="str">
        <x:v>Correo</x:v>
      </x:c>
      <x:c r="E1" s="12" t="str">
        <x:v>Telefono</x:v>
      </x:c>
      <x:c r="F1" s="12" t="str">
        <x:v>Observacion</x:v>
      </x:c>
    </x:row>
    <x:row r="2">
      <x:c r="A2" t="str">
        <x:v>THE6</x:v>
      </x:c>
      <x:c r="B2" t="str">
        <x:v>THEOBROMA</x:v>
      </x:c>
      <x:c r="C2" s="28" t="b">
        <x:v>1</x:v>
      </x:c>
      <x:c r="D2" t="str"/>
      <x:c r="E2" t="str"/>
      <x:c r="F2" t="str"/>
    </x:row>
    <x:row r="3">
      <x:c r="A3" t="str">
        <x:v>CHO6</x:v>
      </x:c>
      <x:c r="B3" t="str">
        <x:v>CHOCOLATES</x:v>
      </x:c>
      <x:c r="C3" s="28" t="b">
        <x:v>1</x:v>
      </x:c>
      <x:c r="D3" t="str"/>
      <x:c r="E3" t="str"/>
      <x:c r="F3" t="str"/>
    </x:row>
    <x:row r="4">
      <x:c r="A4" t="str">
        <x:v>KIA6</x:v>
      </x:c>
      <x:c r="B4" t="str">
        <x:v>KIABAME</x:v>
      </x:c>
      <x:c r="C4" s="28" t="b">
        <x:v>1</x:v>
      </x:c>
      <x:c r="D4" t="str"/>
      <x:c r="E4" t="str"/>
      <x:c r="F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38" hidden="0" customWidth="1"/>
    <x:col min="5" max="5" width="14" hidden="0" customWidth="1"/>
    <x:col min="6" max="6" width="12" hidden="0" customWidth="1"/>
    <x:col min="7" max="7" width="18" hidden="0" customWidth="1"/>
    <x:col min="8" max="8" width="15" hidden="0" customWidth="1"/>
    <x:col min="9" max="9" width="18" hidden="0" customWidth="1"/>
    <x:col min="10" max="10" width="10" hidden="0" customWidth="1"/>
  </x:cols>
  <x:sheetData>
    <x:row r="1">
      <x:c r="A1" s="12" t="str">
        <x:v>Proveedor_Ref</x:v>
      </x:c>
      <x:c r="B1" s="12" t="str">
        <x:v>Proveedor</x:v>
      </x:c>
      <x:c r="C1" s="12" t="str">
        <x:v>Codigo</x:v>
      </x:c>
      <x:c r="D1" s="12" t="str">
        <x:v>Descripcion</x:v>
      </x:c>
      <x:c r="E1" s="12" t="str">
        <x:v>Precio_Venta</x:v>
      </x:c>
      <x:c r="F1" s="12" t="str">
        <x:v>Costo</x:v>
      </x:c>
      <x:c r="G1" s="12" t="str">
        <x:v>Costo_Consignacion</x:v>
      </x:c>
      <x:c r="H1" s="12" t="str">
        <x:v>Costo_Calculo</x:v>
      </x:c>
      <x:c r="I1" s="12" t="str">
        <x:v>Origen_Costo</x:v>
      </x:c>
      <x:c r="J1" s="12" t="str">
        <x:v>Activo</x:v>
      </x:c>
    </x:row>
    <x:row r="2">
      <x:c r="A2" t="str">
        <x:v>THE6</x:v>
      </x:c>
      <x:c r="B2" t="str">
        <x:v>THEOBROMA</x:v>
      </x:c>
      <x:c r="C2" t="str">
        <x:v>THE60005</x:v>
      </x:c>
      <x:c r="D2" t="str">
        <x:v>CACAOSUYO LAKUNA 70%-70GR TAB</x:v>
      </x:c>
      <x:c r="E2" s="24" t="n">
        <x:v>28</x:v>
      </x:c>
      <x:c r="F2" s="24" t="n">
        <x:v>0</x:v>
      </x:c>
      <x:c r="G2" s="24" t="n">
        <x:v>0</x:v>
      </x:c>
      <x:c r="H2" s="24" t="n">
        <x:f>IF(F2&gt;0,F2,IF(G2&gt;0,G2,0))</x:f>
        <x:v>0</x:v>
      </x:c>
      <x:c r="I2" t="str">
        <x:f>IF(F2&gt;0,"COSTO",IF(G2&gt;0,"CONSIGNACION","SIN COSTO"))</x:f>
        <x:v>SIN COSTO</x:v>
      </x:c>
      <x:c r="J2" s="28" t="b">
        <x:v>1</x:v>
      </x:c>
    </x:row>
    <x:row r="3">
      <x:c r="A3" t="str">
        <x:v>CHO6</x:v>
      </x:c>
      <x:c r="B3" t="str">
        <x:v>CHOCOLATES</x:v>
      </x:c>
      <x:c r="C3" t="str">
        <x:v>CHO60006</x:v>
      </x:c>
      <x:c r="D3" t="str">
        <x:v>100% cacao con canela y clavo</x:v>
      </x:c>
      <x:c r="E3" s="24" t="n">
        <x:v>32.5</x:v>
      </x:c>
      <x:c r="F3" s="24" t="n">
        <x:v>14</x:v>
      </x:c>
      <x:c r="G3" s="24" t="n">
        <x:v>0</x:v>
      </x:c>
      <x:c r="H3" s="24" t="n">
        <x:f>IF(F3&gt;0,F3,IF(G3&gt;0,G3,0))</x:f>
        <x:v>14</x:v>
      </x:c>
      <x:c r="I3" t="str">
        <x:f>IF(F3&gt;0,"COSTO",IF(G3&gt;0,"CONSIGNACION","SIN COSTO"))</x:f>
        <x:v>COSTO</x:v>
      </x:c>
      <x:c r="J3" s="28" t="b">
        <x:v>1</x:v>
      </x:c>
    </x:row>
    <x:row r="4">
      <x:c r="A4" t="str">
        <x:v>KIA6</x:v>
      </x:c>
      <x:c r="B4" t="str">
        <x:v>KIABAME</x:v>
      </x:c>
      <x:c r="C4" t="str">
        <x:v>KIA60005</x:v>
      </x:c>
      <x:c r="D4" t="str">
        <x:v>100% tableta de cacao pasta pura</x:v>
      </x:c>
      <x:c r="E4" s="24" t="n">
        <x:v>18</x:v>
      </x:c>
      <x:c r="F4" s="24" t="n">
        <x:v>0</x:v>
      </x:c>
      <x:c r="G4" s="24" t="n">
        <x:v>10.5</x:v>
      </x:c>
      <x:c r="H4" s="24" t="n">
        <x:f>IF(F4&gt;0,F4,IF(G4&gt;0,G4,0))</x:f>
        <x:v>10.5</x:v>
      </x:c>
      <x:c r="I4" t="str">
        <x:f>IF(F4&gt;0,"COSTO",IF(G4&gt;0,"CONSIGNACION","SIN COSTO"))</x:f>
        <x:v>CONSIGNACION</x:v>
      </x:c>
      <x:c r="J4" s="28" t="b">
        <x:v>1</x:v>
      </x:c>
    </x:row>
    <x:row r="5">
      <x:c r="E5" s="24"/>
      <x:c r="F5" s="24"/>
      <x:c r="G5" s="24"/>
      <x:c r="H5" s="24" t="n">
        <x:f>IF(F5&gt;0,F5,IF(G5&gt;0,G5,0))</x:f>
        <x:v>0</x:v>
      </x:c>
      <x:c r="I5" t="str">
        <x:f>IF(F5&gt;0,"COSTO",IF(G5&gt;0,"CONSIGNACION","SIN COSTO"))</x:f>
        <x:v>SIN COSTO</x:v>
      </x:c>
    </x:row>
    <x:row r="6">
      <x:c r="E6" s="24"/>
      <x:c r="F6" s="24"/>
      <x:c r="G6" s="24"/>
      <x:c r="H6" s="24" t="n">
        <x:f>IF(F6&gt;0,F6,IF(G6&gt;0,G6,0))</x:f>
        <x:v>0</x:v>
      </x:c>
      <x:c r="I6" t="str">
        <x:f>IF(F6&gt;0,"COSTO",IF(G6&gt;0,"CONSIGNACION","SIN COSTO"))</x:f>
        <x:v>SIN COSTO</x:v>
      </x:c>
    </x:row>
    <x:row r="7">
      <x:c r="E7" s="24"/>
      <x:c r="F7" s="24"/>
      <x:c r="G7" s="24"/>
      <x:c r="H7" s="24" t="n">
        <x:f>IF(F7&gt;0,F7,IF(G7&gt;0,G7,0))</x:f>
        <x:v>0</x:v>
      </x:c>
      <x:c r="I7" t="str">
        <x:f>IF(F7&gt;0,"COSTO",IF(G7&gt;0,"CONSIGNACION","SIN COSTO"))</x:f>
        <x:v>SIN COSTO</x:v>
      </x:c>
    </x:row>
    <x:row r="8">
      <x:c r="E8" s="24"/>
      <x:c r="F8" s="24"/>
      <x:c r="G8" s="24"/>
      <x:c r="H8" s="24" t="n">
        <x:f>IF(F8&gt;0,F8,IF(G8&gt;0,G8,0))</x:f>
        <x:v>0</x:v>
      </x:c>
      <x:c r="I8" t="str">
        <x:f>IF(F8&gt;0,"COSTO",IF(G8&gt;0,"CONSIGNACION","SIN COSTO"))</x:f>
        <x:v>SIN COSTO</x:v>
      </x:c>
    </x:row>
    <x:row r="9">
      <x:c r="E9" s="24"/>
      <x:c r="F9" s="24"/>
      <x:c r="G9" s="24"/>
      <x:c r="H9" s="24" t="n">
        <x:f>IF(F9&gt;0,F9,IF(G9&gt;0,G9,0))</x:f>
        <x:v>0</x:v>
      </x:c>
      <x:c r="I9" t="str">
        <x:f>IF(F9&gt;0,"COSTO",IF(G9&gt;0,"CONSIGNACION","SIN COSTO"))</x:f>
        <x:v>SIN COSTO</x:v>
      </x:c>
    </x:row>
    <x:row r="10">
      <x:c r="E10" s="24"/>
      <x:c r="F10" s="24"/>
      <x:c r="G10" s="24"/>
      <x:c r="H10" s="24" t="n">
        <x:f>IF(F10&gt;0,F10,IF(G10&gt;0,G10,0))</x:f>
        <x:v>0</x:v>
      </x:c>
      <x:c r="I10" t="str">
        <x:f>IF(F10&gt;0,"COSTO",IF(G10&gt;0,"CONSIGNACION","SIN COSTO"))</x:f>
        <x:v>SIN COSTO</x:v>
      </x:c>
    </x:row>
    <x:row r="11">
      <x:c r="E11" s="24"/>
      <x:c r="F11" s="24"/>
      <x:c r="G11" s="24"/>
      <x:c r="H11" s="24" t="n">
        <x:f>IF(F11&gt;0,F11,IF(G11&gt;0,G11,0))</x:f>
        <x:v>0</x:v>
      </x:c>
      <x:c r="I11" t="str">
        <x:f>IF(F11&gt;0,"COSTO",IF(G11&gt;0,"CONSIGNACION","SIN COSTO"))</x:f>
        <x:v>SIN COSTO</x:v>
      </x:c>
    </x:row>
    <x:row r="12">
      <x:c r="E12" s="24"/>
      <x:c r="F12" s="24"/>
      <x:c r="G12" s="24"/>
      <x:c r="H12" s="24" t="n">
        <x:f>IF(F12&gt;0,F12,IF(G12&gt;0,G12,0))</x:f>
        <x:v>0</x:v>
      </x:c>
      <x:c r="I12" t="str">
        <x:f>IF(F12&gt;0,"COSTO",IF(G12&gt;0,"CONSIGNACION","SIN COSTO"))</x:f>
        <x:v>SIN COSTO</x:v>
      </x:c>
    </x:row>
    <x:row r="13">
      <x:c r="E13" s="24"/>
      <x:c r="F13" s="24"/>
      <x:c r="G13" s="24"/>
      <x:c r="H13" s="24" t="n">
        <x:f>IF(F13&gt;0,F13,IF(G13&gt;0,G13,0))</x:f>
        <x:v>0</x:v>
      </x:c>
      <x:c r="I13" t="str">
        <x:f>IF(F13&gt;0,"COSTO",IF(G13&gt;0,"CONSIGNACION","SIN COSTO"))</x:f>
        <x:v>SIN COSTO</x:v>
      </x:c>
    </x:row>
    <x:row r="14">
      <x:c r="E14" s="24"/>
      <x:c r="F14" s="24"/>
      <x:c r="G14" s="24"/>
      <x:c r="H14" s="24" t="n">
        <x:f>IF(F14&gt;0,F14,IF(G14&gt;0,G14,0))</x:f>
        <x:v>0</x:v>
      </x:c>
      <x:c r="I14" t="str">
        <x:f>IF(F14&gt;0,"COSTO",IF(G14&gt;0,"CONSIGNACION","SIN COSTO"))</x:f>
        <x:v>SIN COSTO</x:v>
      </x:c>
    </x:row>
    <x:row r="15">
      <x:c r="E15" s="24"/>
      <x:c r="F15" s="24"/>
      <x:c r="G15" s="24"/>
      <x:c r="H15" s="24" t="n">
        <x:f>IF(F15&gt;0,F15,IF(G15&gt;0,G15,0))</x:f>
        <x:v>0</x:v>
      </x:c>
      <x:c r="I15" t="str">
        <x:f>IF(F15&gt;0,"COSTO",IF(G15&gt;0,"CONSIGNACION","SIN COSTO"))</x:f>
        <x:v>SIN COSTO</x:v>
      </x:c>
    </x:row>
    <x:row r="16">
      <x:c r="E16" s="24"/>
      <x:c r="F16" s="24"/>
      <x:c r="G16" s="24"/>
      <x:c r="H16" s="24" t="n">
        <x:f>IF(F16&gt;0,F16,IF(G16&gt;0,G16,0))</x:f>
        <x:v>0</x:v>
      </x:c>
      <x:c r="I16" t="str">
        <x:f>IF(F16&gt;0,"COSTO",IF(G16&gt;0,"CONSIGNACION","SIN COSTO"))</x:f>
        <x:v>SIN COSTO</x:v>
      </x:c>
    </x:row>
    <x:row r="17">
      <x:c r="E17" s="24"/>
      <x:c r="F17" s="24"/>
      <x:c r="G17" s="24"/>
      <x:c r="H17" s="24" t="n">
        <x:f>IF(F17&gt;0,F17,IF(G17&gt;0,G17,0))</x:f>
        <x:v>0</x:v>
      </x:c>
      <x:c r="I17" t="str">
        <x:f>IF(F17&gt;0,"COSTO",IF(G17&gt;0,"CONSIGNACION","SIN COSTO"))</x:f>
        <x:v>SIN COSTO</x:v>
      </x:c>
    </x:row>
    <x:row r="18">
      <x:c r="E18" s="24"/>
      <x:c r="F18" s="24"/>
      <x:c r="G18" s="24"/>
      <x:c r="H18" s="24" t="n">
        <x:f>IF(F18&gt;0,F18,IF(G18&gt;0,G18,0))</x:f>
        <x:v>0</x:v>
      </x:c>
      <x:c r="I18" t="str">
        <x:f>IF(F18&gt;0,"COSTO",IF(G18&gt;0,"CONSIGNACION","SIN COSTO"))</x:f>
        <x:v>SIN COSTO</x:v>
      </x:c>
    </x:row>
    <x:row r="19">
      <x:c r="E19" s="24"/>
      <x:c r="F19" s="24"/>
      <x:c r="G19" s="24"/>
      <x:c r="H19" s="24" t="n">
        <x:f>IF(F19&gt;0,F19,IF(G19&gt;0,G19,0))</x:f>
        <x:v>0</x:v>
      </x:c>
      <x:c r="I19" t="str">
        <x:f>IF(F19&gt;0,"COSTO",IF(G19&gt;0,"CONSIGNACION","SIN COSTO"))</x:f>
        <x:v>SIN COSTO</x:v>
      </x:c>
    </x:row>
    <x:row r="20">
      <x:c r="E20" s="24"/>
      <x:c r="F20" s="24"/>
      <x:c r="G20" s="24"/>
      <x:c r="H20" s="24" t="n">
        <x:f>IF(F20&gt;0,F20,IF(G20&gt;0,G20,0))</x:f>
        <x:v>0</x:v>
      </x:c>
      <x:c r="I20" t="str">
        <x:f>IF(F20&gt;0,"COSTO",IF(G20&gt;0,"CONSIGNACION","SIN COSTO"))</x:f>
        <x:v>SIN COSTO</x:v>
      </x:c>
    </x:row>
    <x:row r="21">
      <x:c r="E21" s="24"/>
      <x:c r="F21" s="24"/>
      <x:c r="G21" s="24"/>
      <x:c r="H21" s="24" t="n">
        <x:f>IF(F21&gt;0,F21,IF(G21&gt;0,G21,0))</x:f>
        <x:v>0</x:v>
      </x:c>
      <x:c r="I21" t="str">
        <x:f>IF(F21&gt;0,"COSTO",IF(G21&gt;0,"CONSIGNACION","SIN COSTO"))</x:f>
        <x:v>SIN COSTO</x:v>
      </x:c>
    </x:row>
    <x:row r="22">
      <x:c r="E22" s="24"/>
      <x:c r="F22" s="24"/>
      <x:c r="G22" s="24"/>
      <x:c r="H22" s="24" t="n">
        <x:f>IF(F22&gt;0,F22,IF(G22&gt;0,G22,0))</x:f>
        <x:v>0</x:v>
      </x:c>
      <x:c r="I22" t="str">
        <x:f>IF(F22&gt;0,"COSTO",IF(G22&gt;0,"CONSIGNACION","SIN COSTO"))</x:f>
        <x:v>SIN COSTO</x:v>
      </x:c>
    </x:row>
    <x:row r="23">
      <x:c r="E23" s="24"/>
      <x:c r="F23" s="24"/>
      <x:c r="G23" s="24"/>
      <x:c r="H23" s="24" t="n">
        <x:f>IF(F23&gt;0,F23,IF(G23&gt;0,G23,0))</x:f>
        <x:v>0</x:v>
      </x:c>
      <x:c r="I23" t="str">
        <x:f>IF(F23&gt;0,"COSTO",IF(G23&gt;0,"CONSIGNACION","SIN COSTO"))</x:f>
        <x:v>SIN COSTO</x:v>
      </x:c>
    </x:row>
    <x:row r="24">
      <x:c r="E24" s="24"/>
      <x:c r="F24" s="24"/>
      <x:c r="G24" s="24"/>
      <x:c r="H24" s="24" t="n">
        <x:f>IF(F24&gt;0,F24,IF(G24&gt;0,G24,0))</x:f>
        <x:v>0</x:v>
      </x:c>
      <x:c r="I24" t="str">
        <x:f>IF(F24&gt;0,"COSTO",IF(G24&gt;0,"CONSIGNACION","SIN COSTO"))</x:f>
        <x:v>SIN COSTO</x:v>
      </x:c>
    </x:row>
    <x:row r="25">
      <x:c r="E25" s="24"/>
      <x:c r="F25" s="24"/>
      <x:c r="G25" s="24"/>
      <x:c r="H25" s="24" t="n">
        <x:f>IF(F25&gt;0,F25,IF(G25&gt;0,G25,0))</x:f>
        <x:v>0</x:v>
      </x:c>
      <x:c r="I25" t="str">
        <x:f>IF(F25&gt;0,"COSTO",IF(G25&gt;0,"CONSIGNACION","SIN COSTO"))</x:f>
        <x:v>SIN COSTO</x:v>
      </x:c>
    </x:row>
    <x:row r="26">
      <x:c r="E26" s="24"/>
      <x:c r="F26" s="24"/>
      <x:c r="G26" s="24"/>
      <x:c r="H26" s="24" t="n">
        <x:f>IF(F26&gt;0,F26,IF(G26&gt;0,G26,0))</x:f>
        <x:v>0</x:v>
      </x:c>
      <x:c r="I26" t="str">
        <x:f>IF(F26&gt;0,"COSTO",IF(G26&gt;0,"CONSIGNACION","SIN COSTO"))</x:f>
        <x:v>SIN COSTO</x:v>
      </x:c>
    </x:row>
    <x:row r="27">
      <x:c r="E27" s="24"/>
      <x:c r="F27" s="24"/>
      <x:c r="G27" s="24"/>
      <x:c r="H27" s="24" t="n">
        <x:f>IF(F27&gt;0,F27,IF(G27&gt;0,G27,0))</x:f>
        <x:v>0</x:v>
      </x:c>
      <x:c r="I27" t="str">
        <x:f>IF(F27&gt;0,"COSTO",IF(G27&gt;0,"CONSIGNACION","SIN COSTO"))</x:f>
        <x:v>SIN COSTO</x:v>
      </x:c>
    </x:row>
    <x:row r="28">
      <x:c r="E28" s="24"/>
      <x:c r="F28" s="24"/>
      <x:c r="G28" s="24"/>
      <x:c r="H28" s="24" t="n">
        <x:f>IF(F28&gt;0,F28,IF(G28&gt;0,G28,0))</x:f>
        <x:v>0</x:v>
      </x:c>
      <x:c r="I28" t="str">
        <x:f>IF(F28&gt;0,"COSTO",IF(G28&gt;0,"CONSIGNACION","SIN COSTO"))</x:f>
        <x:v>SIN COSTO</x:v>
      </x:c>
    </x:row>
    <x:row r="29">
      <x:c r="E29" s="24"/>
      <x:c r="F29" s="24"/>
      <x:c r="G29" s="24"/>
      <x:c r="H29" s="24" t="n">
        <x:f>IF(F29&gt;0,F29,IF(G29&gt;0,G29,0))</x:f>
        <x:v>0</x:v>
      </x:c>
      <x:c r="I29" t="str">
        <x:f>IF(F29&gt;0,"COSTO",IF(G29&gt;0,"CONSIGNACION","SIN COSTO"))</x:f>
        <x:v>SIN COSTO</x:v>
      </x:c>
    </x:row>
    <x:row r="30">
      <x:c r="E30" s="24"/>
      <x:c r="F30" s="24"/>
      <x:c r="G30" s="24"/>
      <x:c r="H30" s="24" t="n">
        <x:f>IF(F30&gt;0,F30,IF(G30&gt;0,G30,0))</x:f>
        <x:v>0</x:v>
      </x:c>
      <x:c r="I30" t="str">
        <x:f>IF(F30&gt;0,"COSTO",IF(G30&gt;0,"CONSIGNACION","SIN COSTO"))</x:f>
        <x:v>SIN COSTO</x:v>
      </x:c>
    </x:row>
    <x:row r="31">
      <x:c r="E31" s="24"/>
      <x:c r="F31" s="24"/>
      <x:c r="G31" s="24"/>
      <x:c r="H31" s="24" t="n">
        <x:f>IF(F31&gt;0,F31,IF(G31&gt;0,G31,0))</x:f>
        <x:v>0</x:v>
      </x:c>
      <x:c r="I31" t="str">
        <x:f>IF(F31&gt;0,"COSTO",IF(G31&gt;0,"CONSIGNACION","SIN COSTO"))</x:f>
        <x:v>SIN COSTO</x:v>
      </x:c>
    </x:row>
    <x:row r="32">
      <x:c r="E32" s="24"/>
      <x:c r="F32" s="24"/>
      <x:c r="G32" s="24"/>
      <x:c r="H32" s="24" t="n">
        <x:f>IF(F32&gt;0,F32,IF(G32&gt;0,G32,0))</x:f>
        <x:v>0</x:v>
      </x:c>
      <x:c r="I32" t="str">
        <x:f>IF(F32&gt;0,"COSTO",IF(G32&gt;0,"CONSIGNACION","SIN COSTO"))</x:f>
        <x:v>SIN COSTO</x:v>
      </x:c>
    </x:row>
    <x:row r="33">
      <x:c r="E33" s="24"/>
      <x:c r="F33" s="24"/>
      <x:c r="G33" s="24"/>
      <x:c r="H33" s="24" t="n">
        <x:f>IF(F33&gt;0,F33,IF(G33&gt;0,G33,0))</x:f>
        <x:v>0</x:v>
      </x:c>
      <x:c r="I33" t="str">
        <x:f>IF(F33&gt;0,"COSTO",IF(G33&gt;0,"CONSIGNACION","SIN COSTO"))</x:f>
        <x:v>SIN COSTO</x:v>
      </x:c>
    </x:row>
    <x:row r="34">
      <x:c r="E34" s="24"/>
      <x:c r="F34" s="24"/>
      <x:c r="G34" s="24"/>
      <x:c r="H34" s="24" t="n">
        <x:f>IF(F34&gt;0,F34,IF(G34&gt;0,G34,0))</x:f>
        <x:v>0</x:v>
      </x:c>
      <x:c r="I34" t="str">
        <x:f>IF(F34&gt;0,"COSTO",IF(G34&gt;0,"CONSIGNACION","SIN COSTO"))</x:f>
        <x:v>SIN COSTO</x:v>
      </x:c>
    </x:row>
    <x:row r="35">
      <x:c r="E35" s="24"/>
      <x:c r="F35" s="24"/>
      <x:c r="G35" s="24"/>
      <x:c r="H35" s="24" t="n">
        <x:f>IF(F35&gt;0,F35,IF(G35&gt;0,G35,0))</x:f>
        <x:v>0</x:v>
      </x:c>
      <x:c r="I35" t="str">
        <x:f>IF(F35&gt;0,"COSTO",IF(G35&gt;0,"CONSIGNACION","SIN COSTO"))</x:f>
        <x:v>SIN COSTO</x:v>
      </x:c>
    </x:row>
    <x:row r="36">
      <x:c r="E36" s="24"/>
      <x:c r="F36" s="24"/>
      <x:c r="G36" s="24"/>
      <x:c r="H36" s="24" t="n">
        <x:f>IF(F36&gt;0,F36,IF(G36&gt;0,G36,0))</x:f>
        <x:v>0</x:v>
      </x:c>
      <x:c r="I36" t="str">
        <x:f>IF(F36&gt;0,"COSTO",IF(G36&gt;0,"CONSIGNACION","SIN COSTO"))</x:f>
        <x:v>SIN COSTO</x:v>
      </x:c>
    </x:row>
    <x:row r="37">
      <x:c r="E37" s="24"/>
      <x:c r="F37" s="24"/>
      <x:c r="G37" s="24"/>
      <x:c r="H37" s="24" t="n">
        <x:f>IF(F37&gt;0,F37,IF(G37&gt;0,G37,0))</x:f>
        <x:v>0</x:v>
      </x:c>
      <x:c r="I37" t="str">
        <x:f>IF(F37&gt;0,"COSTO",IF(G37&gt;0,"CONSIGNACION","SIN COSTO"))</x:f>
        <x:v>SIN COSTO</x:v>
      </x:c>
    </x:row>
    <x:row r="38">
      <x:c r="E38" s="24"/>
      <x:c r="F38" s="24"/>
      <x:c r="G38" s="24"/>
      <x:c r="H38" s="24" t="n">
        <x:f>IF(F38&gt;0,F38,IF(G38&gt;0,G38,0))</x:f>
        <x:v>0</x:v>
      </x:c>
      <x:c r="I38" t="str">
        <x:f>IF(F38&gt;0,"COSTO",IF(G38&gt;0,"CONSIGNACION","SIN COSTO"))</x:f>
        <x:v>SIN COSTO</x:v>
      </x:c>
    </x:row>
    <x:row r="39">
      <x:c r="E39" s="24"/>
      <x:c r="F39" s="24"/>
      <x:c r="G39" s="24"/>
      <x:c r="H39" s="24" t="n">
        <x:f>IF(F39&gt;0,F39,IF(G39&gt;0,G39,0))</x:f>
        <x:v>0</x:v>
      </x:c>
      <x:c r="I39" t="str">
        <x:f>IF(F39&gt;0,"COSTO",IF(G39&gt;0,"CONSIGNACION","SIN COSTO"))</x:f>
        <x:v>SIN COSTO</x:v>
      </x:c>
    </x:row>
    <x:row r="40">
      <x:c r="E40" s="24"/>
      <x:c r="F40" s="24"/>
      <x:c r="G40" s="24"/>
      <x:c r="H40" s="24" t="n">
        <x:f>IF(F40&gt;0,F40,IF(G40&gt;0,G40,0))</x:f>
        <x:v>0</x:v>
      </x:c>
      <x:c r="I40" t="str">
        <x:f>IF(F40&gt;0,"COSTO",IF(G40&gt;0,"CONSIGNACION","SIN COSTO"))</x:f>
        <x:v>SIN COSTO</x:v>
      </x:c>
    </x:row>
    <x:row r="41">
      <x:c r="E41" s="24"/>
      <x:c r="F41" s="24"/>
      <x:c r="G41" s="24"/>
      <x:c r="H41" s="24" t="n">
        <x:f>IF(F41&gt;0,F41,IF(G41&gt;0,G41,0))</x:f>
        <x:v>0</x:v>
      </x:c>
      <x:c r="I41" t="str">
        <x:f>IF(F41&gt;0,"COSTO",IF(G41&gt;0,"CONSIGNACION","SIN COSTO"))</x:f>
        <x:v>SIN COSTO</x:v>
      </x:c>
    </x:row>
    <x:row r="42">
      <x:c r="E42" s="24"/>
      <x:c r="F42" s="24"/>
      <x:c r="G42" s="24"/>
      <x:c r="H42" s="24" t="n">
        <x:f>IF(F42&gt;0,F42,IF(G42&gt;0,G42,0))</x:f>
        <x:v>0</x:v>
      </x:c>
      <x:c r="I42" t="str">
        <x:f>IF(F42&gt;0,"COSTO",IF(G42&gt;0,"CONSIGNACION","SIN COSTO"))</x:f>
        <x:v>SIN COSTO</x:v>
      </x:c>
    </x:row>
    <x:row r="43">
      <x:c r="E43" s="24"/>
      <x:c r="F43" s="24"/>
      <x:c r="G43" s="24"/>
      <x:c r="H43" s="24" t="n">
        <x:f>IF(F43&gt;0,F43,IF(G43&gt;0,G43,0))</x:f>
        <x:v>0</x:v>
      </x:c>
      <x:c r="I43" t="str">
        <x:f>IF(F43&gt;0,"COSTO",IF(G43&gt;0,"CONSIGNACION","SIN COSTO"))</x:f>
        <x:v>SIN COSTO</x:v>
      </x:c>
    </x:row>
    <x:row r="44">
      <x:c r="E44" s="24"/>
      <x:c r="F44" s="24"/>
      <x:c r="G44" s="24"/>
      <x:c r="H44" s="24" t="n">
        <x:f>IF(F44&gt;0,F44,IF(G44&gt;0,G44,0))</x:f>
        <x:v>0</x:v>
      </x:c>
      <x:c r="I44" t="str">
        <x:f>IF(F44&gt;0,"COSTO",IF(G44&gt;0,"CONSIGNACION","SIN COSTO"))</x:f>
        <x:v>SIN COSTO</x:v>
      </x:c>
    </x:row>
    <x:row r="45">
      <x:c r="E45" s="24"/>
      <x:c r="F45" s="24"/>
      <x:c r="G45" s="24"/>
      <x:c r="H45" s="24" t="n">
        <x:f>IF(F45&gt;0,F45,IF(G45&gt;0,G45,0))</x:f>
        <x:v>0</x:v>
      </x:c>
      <x:c r="I45" t="str">
        <x:f>IF(F45&gt;0,"COSTO",IF(G45&gt;0,"CONSIGNACION","SIN COSTO"))</x:f>
        <x:v>SIN COSTO</x:v>
      </x:c>
    </x:row>
    <x:row r="46">
      <x:c r="E46" s="24"/>
      <x:c r="F46" s="24"/>
      <x:c r="G46" s="24"/>
      <x:c r="H46" s="24" t="n">
        <x:f>IF(F46&gt;0,F46,IF(G46&gt;0,G46,0))</x:f>
        <x:v>0</x:v>
      </x:c>
      <x:c r="I46" t="str">
        <x:f>IF(F46&gt;0,"COSTO",IF(G46&gt;0,"CONSIGNACION","SIN COSTO"))</x:f>
        <x:v>SIN COSTO</x:v>
      </x:c>
    </x:row>
    <x:row r="47">
      <x:c r="E47" s="24"/>
      <x:c r="F47" s="24"/>
      <x:c r="G47" s="24"/>
      <x:c r="H47" s="24" t="n">
        <x:f>IF(F47&gt;0,F47,IF(G47&gt;0,G47,0))</x:f>
        <x:v>0</x:v>
      </x:c>
      <x:c r="I47" t="str">
        <x:f>IF(F47&gt;0,"COSTO",IF(G47&gt;0,"CONSIGNACION","SIN COSTO"))</x:f>
        <x:v>SIN COSTO</x:v>
      </x:c>
    </x:row>
    <x:row r="48">
      <x:c r="E48" s="24"/>
      <x:c r="F48" s="24"/>
      <x:c r="G48" s="24"/>
      <x:c r="H48" s="24" t="n">
        <x:f>IF(F48&gt;0,F48,IF(G48&gt;0,G48,0))</x:f>
        <x:v>0</x:v>
      </x:c>
      <x:c r="I48" t="str">
        <x:f>IF(F48&gt;0,"COSTO",IF(G48&gt;0,"CONSIGNACION","SIN COSTO"))</x:f>
        <x:v>SIN COSTO</x:v>
      </x:c>
    </x:row>
    <x:row r="49">
      <x:c r="E49" s="24"/>
      <x:c r="F49" s="24"/>
      <x:c r="G49" s="24"/>
      <x:c r="H49" s="24" t="n">
        <x:f>IF(F49&gt;0,F49,IF(G49&gt;0,G49,0))</x:f>
        <x:v>0</x:v>
      </x:c>
      <x:c r="I49" t="str">
        <x:f>IF(F49&gt;0,"COSTO",IF(G49&gt;0,"CONSIGNACION","SIN COSTO"))</x:f>
        <x:v>SIN COSTO</x:v>
      </x:c>
    </x:row>
    <x:row r="50">
      <x:c r="E50" s="24"/>
      <x:c r="F50" s="24"/>
      <x:c r="G50" s="24"/>
      <x:c r="H50" s="24" t="n">
        <x:f>IF(F50&gt;0,F50,IF(G50&gt;0,G50,0))</x:f>
        <x:v>0</x:v>
      </x:c>
      <x:c r="I50" t="str">
        <x:f>IF(F50&gt;0,"COSTO",IF(G50&gt;0,"CONSIGNACION","SIN COSTO"))</x:f>
        <x:v>SIN COSTO</x:v>
      </x:c>
    </x:row>
    <x:row r="51">
      <x:c r="E51" s="24"/>
      <x:c r="F51" s="24"/>
      <x:c r="G51" s="24"/>
      <x:c r="H51" s="24" t="n">
        <x:f>IF(F51&gt;0,F51,IF(G51&gt;0,G51,0))</x:f>
        <x:v>0</x:v>
      </x:c>
      <x:c r="I51" t="str">
        <x:f>IF(F51&gt;0,"COSTO",IF(G51&gt;0,"CONSIGNACION","SIN COSTO"))</x:f>
        <x:v>SIN COSTO</x:v>
      </x:c>
    </x:row>
    <x:row r="52">
      <x:c r="E52" s="24"/>
      <x:c r="F52" s="24"/>
      <x:c r="G52" s="24"/>
      <x:c r="H52" s="24" t="n">
        <x:f>IF(F52&gt;0,F52,IF(G52&gt;0,G52,0))</x:f>
        <x:v>0</x:v>
      </x:c>
      <x:c r="I52" t="str">
        <x:f>IF(F52&gt;0,"COSTO",IF(G52&gt;0,"CONSIGNACION","SIN COSTO"))</x:f>
        <x:v>SIN COSTO</x:v>
      </x:c>
    </x:row>
    <x:row r="53">
      <x:c r="E53" s="24"/>
      <x:c r="F53" s="24"/>
      <x:c r="G53" s="24"/>
      <x:c r="H53" s="24" t="n">
        <x:f>IF(F53&gt;0,F53,IF(G53&gt;0,G53,0))</x:f>
        <x:v>0</x:v>
      </x:c>
      <x:c r="I53" t="str">
        <x:f>IF(F53&gt;0,"COSTO",IF(G53&gt;0,"CONSIGNACION","SIN COSTO"))</x:f>
        <x:v>SIN COSTO</x:v>
      </x:c>
    </x:row>
    <x:row r="54">
      <x:c r="E54" s="24"/>
      <x:c r="F54" s="24"/>
      <x:c r="G54" s="24"/>
      <x:c r="H54" s="24" t="n">
        <x:f>IF(F54&gt;0,F54,IF(G54&gt;0,G54,0))</x:f>
        <x:v>0</x:v>
      </x:c>
      <x:c r="I54" t="str">
        <x:f>IF(F54&gt;0,"COSTO",IF(G54&gt;0,"CONSIGNACION","SIN COSTO"))</x:f>
        <x:v>SIN COSTO</x:v>
      </x:c>
    </x:row>
    <x:row r="55">
      <x:c r="E55" s="24"/>
      <x:c r="F55" s="24"/>
      <x:c r="G55" s="24"/>
      <x:c r="H55" s="24" t="n">
        <x:f>IF(F55&gt;0,F55,IF(G55&gt;0,G55,0))</x:f>
        <x:v>0</x:v>
      </x:c>
      <x:c r="I55" t="str">
        <x:f>IF(F55&gt;0,"COSTO",IF(G55&gt;0,"CONSIGNACION","SIN COSTO"))</x:f>
        <x:v>SIN COSTO</x:v>
      </x:c>
    </x:row>
    <x:row r="56">
      <x:c r="E56" s="24"/>
      <x:c r="F56" s="24"/>
      <x:c r="G56" s="24"/>
      <x:c r="H56" s="24" t="n">
        <x:f>IF(F56&gt;0,F56,IF(G56&gt;0,G56,0))</x:f>
        <x:v>0</x:v>
      </x:c>
      <x:c r="I56" t="str">
        <x:f>IF(F56&gt;0,"COSTO",IF(G56&gt;0,"CONSIGNACION","SIN COSTO"))</x:f>
        <x:v>SIN COSTO</x:v>
      </x:c>
    </x:row>
    <x:row r="57">
      <x:c r="E57" s="24"/>
      <x:c r="F57" s="24"/>
      <x:c r="G57" s="24"/>
      <x:c r="H57" s="24" t="n">
        <x:f>IF(F57&gt;0,F57,IF(G57&gt;0,G57,0))</x:f>
        <x:v>0</x:v>
      </x:c>
      <x:c r="I57" t="str">
        <x:f>IF(F57&gt;0,"COSTO",IF(G57&gt;0,"CONSIGNACION","SIN COSTO"))</x:f>
        <x:v>SIN COSTO</x:v>
      </x:c>
    </x:row>
    <x:row r="58">
      <x:c r="E58" s="24"/>
      <x:c r="F58" s="24"/>
      <x:c r="G58" s="24"/>
      <x:c r="H58" s="24" t="n">
        <x:f>IF(F58&gt;0,F58,IF(G58&gt;0,G58,0))</x:f>
        <x:v>0</x:v>
      </x:c>
      <x:c r="I58" t="str">
        <x:f>IF(F58&gt;0,"COSTO",IF(G58&gt;0,"CONSIGNACION","SIN COSTO"))</x:f>
        <x:v>SIN COSTO</x:v>
      </x:c>
    </x:row>
    <x:row r="59">
      <x:c r="E59" s="24"/>
      <x:c r="F59" s="24"/>
      <x:c r="G59" s="24"/>
      <x:c r="H59" s="24" t="n">
        <x:f>IF(F59&gt;0,F59,IF(G59&gt;0,G59,0))</x:f>
        <x:v>0</x:v>
      </x:c>
      <x:c r="I59" t="str">
        <x:f>IF(F59&gt;0,"COSTO",IF(G59&gt;0,"CONSIGNACION","SIN COSTO"))</x:f>
        <x:v>SIN COSTO</x:v>
      </x:c>
    </x:row>
    <x:row r="60">
      <x:c r="E60" s="24"/>
      <x:c r="F60" s="24"/>
      <x:c r="G60" s="24"/>
      <x:c r="H60" s="24" t="n">
        <x:f>IF(F60&gt;0,F60,IF(G60&gt;0,G60,0))</x:f>
        <x:v>0</x:v>
      </x:c>
      <x:c r="I60" t="str">
        <x:f>IF(F60&gt;0,"COSTO",IF(G60&gt;0,"CONSIGNACION","SIN COSTO"))</x:f>
        <x:v>SIN COSTO</x:v>
      </x:c>
    </x:row>
    <x:row r="61">
      <x:c r="E61" s="24"/>
      <x:c r="F61" s="24"/>
      <x:c r="G61" s="24"/>
      <x:c r="H61" s="24" t="n">
        <x:f>IF(F61&gt;0,F61,IF(G61&gt;0,G61,0))</x:f>
        <x:v>0</x:v>
      </x:c>
      <x:c r="I61" t="str">
        <x:f>IF(F61&gt;0,"COSTO",IF(G61&gt;0,"CONSIGNACION","SIN COSTO"))</x:f>
        <x:v>SIN COSTO</x:v>
      </x:c>
    </x:row>
    <x:row r="62">
      <x:c r="E62" s="24"/>
      <x:c r="F62" s="24"/>
      <x:c r="G62" s="24"/>
      <x:c r="H62" s="24" t="n">
        <x:f>IF(F62&gt;0,F62,IF(G62&gt;0,G62,0))</x:f>
        <x:v>0</x:v>
      </x:c>
      <x:c r="I62" t="str">
        <x:f>IF(F62&gt;0,"COSTO",IF(G62&gt;0,"CONSIGNACION","SIN COSTO"))</x:f>
        <x:v>SIN COSTO</x:v>
      </x:c>
    </x:row>
    <x:row r="63">
      <x:c r="E63" s="24"/>
      <x:c r="F63" s="24"/>
      <x:c r="G63" s="24"/>
      <x:c r="H63" s="24" t="n">
        <x:f>IF(F63&gt;0,F63,IF(G63&gt;0,G63,0))</x:f>
        <x:v>0</x:v>
      </x:c>
      <x:c r="I63" t="str">
        <x:f>IF(F63&gt;0,"COSTO",IF(G63&gt;0,"CONSIGNACION","SIN COSTO"))</x:f>
        <x:v>SIN COSTO</x:v>
      </x:c>
    </x:row>
    <x:row r="64">
      <x:c r="E64" s="24"/>
      <x:c r="F64" s="24"/>
      <x:c r="G64" s="24"/>
      <x:c r="H64" s="24" t="n">
        <x:f>IF(F64&gt;0,F64,IF(G64&gt;0,G64,0))</x:f>
        <x:v>0</x:v>
      </x:c>
      <x:c r="I64" t="str">
        <x:f>IF(F64&gt;0,"COSTO",IF(G64&gt;0,"CONSIGNACION","SIN COSTO"))</x:f>
        <x:v>SIN COSTO</x:v>
      </x:c>
    </x:row>
    <x:row r="65">
      <x:c r="E65" s="24"/>
      <x:c r="F65" s="24"/>
      <x:c r="G65" s="24"/>
      <x:c r="H65" s="24" t="n">
        <x:f>IF(F65&gt;0,F65,IF(G65&gt;0,G65,0))</x:f>
        <x:v>0</x:v>
      </x:c>
      <x:c r="I65" t="str">
        <x:f>IF(F65&gt;0,"COSTO",IF(G65&gt;0,"CONSIGNACION","SIN COSTO"))</x:f>
        <x:v>SIN COSTO</x:v>
      </x:c>
    </x:row>
    <x:row r="66">
      <x:c r="E66" s="24"/>
      <x:c r="F66" s="24"/>
      <x:c r="G66" s="24"/>
      <x:c r="H66" s="24" t="n">
        <x:f>IF(F66&gt;0,F66,IF(G66&gt;0,G66,0))</x:f>
        <x:v>0</x:v>
      </x:c>
      <x:c r="I66" t="str">
        <x:f>IF(F66&gt;0,"COSTO",IF(G66&gt;0,"CONSIGNACION","SIN COSTO"))</x:f>
        <x:v>SIN COSTO</x:v>
      </x:c>
    </x:row>
    <x:row r="67">
      <x:c r="E67" s="24"/>
      <x:c r="F67" s="24"/>
      <x:c r="G67" s="24"/>
      <x:c r="H67" s="24" t="n">
        <x:f>IF(F67&gt;0,F67,IF(G67&gt;0,G67,0))</x:f>
        <x:v>0</x:v>
      </x:c>
      <x:c r="I67" t="str">
        <x:f>IF(F67&gt;0,"COSTO",IF(G67&gt;0,"CONSIGNACION","SIN COSTO"))</x:f>
        <x:v>SIN COSTO</x:v>
      </x:c>
    </x:row>
    <x:row r="68">
      <x:c r="E68" s="24"/>
      <x:c r="F68" s="24"/>
      <x:c r="G68" s="24"/>
      <x:c r="H68" s="24" t="n">
        <x:f>IF(F68&gt;0,F68,IF(G68&gt;0,G68,0))</x:f>
        <x:v>0</x:v>
      </x:c>
      <x:c r="I68" t="str">
        <x:f>IF(F68&gt;0,"COSTO",IF(G68&gt;0,"CONSIGNACION","SIN COSTO"))</x:f>
        <x:v>SIN COSTO</x:v>
      </x:c>
    </x:row>
    <x:row r="69">
      <x:c r="E69" s="24"/>
      <x:c r="F69" s="24"/>
      <x:c r="G69" s="24"/>
      <x:c r="H69" s="24" t="n">
        <x:f>IF(F69&gt;0,F69,IF(G69&gt;0,G69,0))</x:f>
        <x:v>0</x:v>
      </x:c>
      <x:c r="I69" t="str">
        <x:f>IF(F69&gt;0,"COSTO",IF(G69&gt;0,"CONSIGNACION","SIN COSTO"))</x:f>
        <x:v>SIN COSTO</x:v>
      </x:c>
    </x:row>
    <x:row r="70">
      <x:c r="E70" s="24"/>
      <x:c r="F70" s="24"/>
      <x:c r="G70" s="24"/>
      <x:c r="H70" s="24" t="n">
        <x:f>IF(F70&gt;0,F70,IF(G70&gt;0,G70,0))</x:f>
        <x:v>0</x:v>
      </x:c>
      <x:c r="I70" t="str">
        <x:f>IF(F70&gt;0,"COSTO",IF(G70&gt;0,"CONSIGNACION","SIN COSTO"))</x:f>
        <x:v>SIN COSTO</x:v>
      </x:c>
    </x:row>
    <x:row r="71">
      <x:c r="E71" s="24"/>
      <x:c r="F71" s="24"/>
      <x:c r="G71" s="24"/>
      <x:c r="H71" s="24" t="n">
        <x:f>IF(F71&gt;0,F71,IF(G71&gt;0,G71,0))</x:f>
        <x:v>0</x:v>
      </x:c>
      <x:c r="I71" t="str">
        <x:f>IF(F71&gt;0,"COSTO",IF(G71&gt;0,"CONSIGNACION","SIN COSTO"))</x:f>
        <x:v>SIN COSTO</x:v>
      </x:c>
    </x:row>
    <x:row r="72">
      <x:c r="E72" s="24"/>
      <x:c r="F72" s="24"/>
      <x:c r="G72" s="24"/>
      <x:c r="H72" s="24" t="n">
        <x:f>IF(F72&gt;0,F72,IF(G72&gt;0,G72,0))</x:f>
        <x:v>0</x:v>
      </x:c>
      <x:c r="I72" t="str">
        <x:f>IF(F72&gt;0,"COSTO",IF(G72&gt;0,"CONSIGNACION","SIN COSTO"))</x:f>
        <x:v>SIN COSTO</x:v>
      </x:c>
    </x:row>
    <x:row r="73">
      <x:c r="E73" s="24"/>
      <x:c r="F73" s="24"/>
      <x:c r="G73" s="24"/>
      <x:c r="H73" s="24" t="n">
        <x:f>IF(F73&gt;0,F73,IF(G73&gt;0,G73,0))</x:f>
        <x:v>0</x:v>
      </x:c>
      <x:c r="I73" t="str">
        <x:f>IF(F73&gt;0,"COSTO",IF(G73&gt;0,"CONSIGNACION","SIN COSTO"))</x:f>
        <x:v>SIN COSTO</x:v>
      </x:c>
    </x:row>
    <x:row r="74">
      <x:c r="E74" s="24"/>
      <x:c r="F74" s="24"/>
      <x:c r="G74" s="24"/>
      <x:c r="H74" s="24" t="n">
        <x:f>IF(F74&gt;0,F74,IF(G74&gt;0,G74,0))</x:f>
        <x:v>0</x:v>
      </x:c>
      <x:c r="I74" t="str">
        <x:f>IF(F74&gt;0,"COSTO",IF(G74&gt;0,"CONSIGNACION","SIN COSTO"))</x:f>
        <x:v>SIN COSTO</x:v>
      </x:c>
    </x:row>
    <x:row r="75">
      <x:c r="E75" s="24"/>
      <x:c r="F75" s="24"/>
      <x:c r="G75" s="24"/>
      <x:c r="H75" s="24" t="n">
        <x:f>IF(F75&gt;0,F75,IF(G75&gt;0,G75,0))</x:f>
        <x:v>0</x:v>
      </x:c>
      <x:c r="I75" t="str">
        <x:f>IF(F75&gt;0,"COSTO",IF(G75&gt;0,"CONSIGNACION","SIN COSTO"))</x:f>
        <x:v>SIN COSTO</x:v>
      </x:c>
    </x:row>
    <x:row r="76">
      <x:c r="E76" s="24"/>
      <x:c r="F76" s="24"/>
      <x:c r="G76" s="24"/>
      <x:c r="H76" s="24" t="n">
        <x:f>IF(F76&gt;0,F76,IF(G76&gt;0,G76,0))</x:f>
        <x:v>0</x:v>
      </x:c>
      <x:c r="I76" t="str">
        <x:f>IF(F76&gt;0,"COSTO",IF(G76&gt;0,"CONSIGNACION","SIN COSTO"))</x:f>
        <x:v>SIN COSTO</x:v>
      </x:c>
    </x:row>
    <x:row r="77">
      <x:c r="E77" s="24"/>
      <x:c r="F77" s="24"/>
      <x:c r="G77" s="24"/>
      <x:c r="H77" s="24" t="n">
        <x:f>IF(F77&gt;0,F77,IF(G77&gt;0,G77,0))</x:f>
        <x:v>0</x:v>
      </x:c>
      <x:c r="I77" t="str">
        <x:f>IF(F77&gt;0,"COSTO",IF(G77&gt;0,"CONSIGNACION","SIN COSTO"))</x:f>
        <x:v>SIN COSTO</x:v>
      </x:c>
    </x:row>
    <x:row r="78">
      <x:c r="E78" s="24"/>
      <x:c r="F78" s="24"/>
      <x:c r="G78" s="24"/>
      <x:c r="H78" s="24" t="n">
        <x:f>IF(F78&gt;0,F78,IF(G78&gt;0,G78,0))</x:f>
        <x:v>0</x:v>
      </x:c>
      <x:c r="I78" t="str">
        <x:f>IF(F78&gt;0,"COSTO",IF(G78&gt;0,"CONSIGNACION","SIN COSTO"))</x:f>
        <x:v>SIN COSTO</x:v>
      </x:c>
    </x:row>
    <x:row r="79">
      <x:c r="E79" s="24"/>
      <x:c r="F79" s="24"/>
      <x:c r="G79" s="24"/>
      <x:c r="H79" s="24" t="n">
        <x:f>IF(F79&gt;0,F79,IF(G79&gt;0,G79,0))</x:f>
        <x:v>0</x:v>
      </x:c>
      <x:c r="I79" t="str">
        <x:f>IF(F79&gt;0,"COSTO",IF(G79&gt;0,"CONSIGNACION","SIN COSTO"))</x:f>
        <x:v>SIN COSTO</x:v>
      </x:c>
    </x:row>
    <x:row r="80">
      <x:c r="E80" s="24"/>
      <x:c r="F80" s="24"/>
      <x:c r="G80" s="24"/>
      <x:c r="H80" s="24" t="n">
        <x:f>IF(F80&gt;0,F80,IF(G80&gt;0,G80,0))</x:f>
        <x:v>0</x:v>
      </x:c>
      <x:c r="I80" t="str">
        <x:f>IF(F80&gt;0,"COSTO",IF(G80&gt;0,"CONSIGNACION","SIN COSTO"))</x:f>
        <x:v>SIN COSTO</x:v>
      </x:c>
    </x:row>
    <x:row r="81">
      <x:c r="E81" s="24"/>
      <x:c r="F81" s="24"/>
      <x:c r="G81" s="24"/>
      <x:c r="H81" s="24" t="n">
        <x:f>IF(F81&gt;0,F81,IF(G81&gt;0,G81,0))</x:f>
        <x:v>0</x:v>
      </x:c>
      <x:c r="I81" t="str">
        <x:f>IF(F81&gt;0,"COSTO",IF(G81&gt;0,"CONSIGNACION","SIN COSTO"))</x:f>
        <x:v>SIN COSTO</x:v>
      </x:c>
    </x:row>
    <x:row r="82">
      <x:c r="E82" s="24"/>
      <x:c r="F82" s="24"/>
      <x:c r="G82" s="24"/>
      <x:c r="H82" s="24" t="n">
        <x:f>IF(F82&gt;0,F82,IF(G82&gt;0,G82,0))</x:f>
        <x:v>0</x:v>
      </x:c>
      <x:c r="I82" t="str">
        <x:f>IF(F82&gt;0,"COSTO",IF(G82&gt;0,"CONSIGNACION","SIN COSTO"))</x:f>
        <x:v>SIN COSTO</x:v>
      </x:c>
    </x:row>
    <x:row r="83">
      <x:c r="E83" s="24"/>
      <x:c r="F83" s="24"/>
      <x:c r="G83" s="24"/>
      <x:c r="H83" s="24" t="n">
        <x:f>IF(F83&gt;0,F83,IF(G83&gt;0,G83,0))</x:f>
        <x:v>0</x:v>
      </x:c>
      <x:c r="I83" t="str">
        <x:f>IF(F83&gt;0,"COSTO",IF(G83&gt;0,"CONSIGNACION","SIN COSTO"))</x:f>
        <x:v>SIN COSTO</x:v>
      </x:c>
    </x:row>
    <x:row r="84">
      <x:c r="E84" s="24"/>
      <x:c r="F84" s="24"/>
      <x:c r="G84" s="24"/>
      <x:c r="H84" s="24" t="n">
        <x:f>IF(F84&gt;0,F84,IF(G84&gt;0,G84,0))</x:f>
        <x:v>0</x:v>
      </x:c>
      <x:c r="I84" t="str">
        <x:f>IF(F84&gt;0,"COSTO",IF(G84&gt;0,"CONSIGNACION","SIN COSTO"))</x:f>
        <x:v>SIN COSTO</x:v>
      </x:c>
    </x:row>
    <x:row r="85">
      <x:c r="E85" s="24"/>
      <x:c r="F85" s="24"/>
      <x:c r="G85" s="24"/>
      <x:c r="H85" s="24" t="n">
        <x:f>IF(F85&gt;0,F85,IF(G85&gt;0,G85,0))</x:f>
        <x:v>0</x:v>
      </x:c>
      <x:c r="I85" t="str">
        <x:f>IF(F85&gt;0,"COSTO",IF(G85&gt;0,"CONSIGNACION","SIN COSTO"))</x:f>
        <x:v>SIN COSTO</x:v>
      </x:c>
    </x:row>
    <x:row r="86">
      <x:c r="E86" s="24"/>
      <x:c r="F86" s="24"/>
      <x:c r="G86" s="24"/>
      <x:c r="H86" s="24" t="n">
        <x:f>IF(F86&gt;0,F86,IF(G86&gt;0,G86,0))</x:f>
        <x:v>0</x:v>
      </x:c>
      <x:c r="I86" t="str">
        <x:f>IF(F86&gt;0,"COSTO",IF(G86&gt;0,"CONSIGNACION","SIN COSTO"))</x:f>
        <x:v>SIN COSTO</x:v>
      </x:c>
    </x:row>
    <x:row r="87">
      <x:c r="E87" s="24"/>
      <x:c r="F87" s="24"/>
      <x:c r="G87" s="24"/>
      <x:c r="H87" s="24" t="n">
        <x:f>IF(F87&gt;0,F87,IF(G87&gt;0,G87,0))</x:f>
        <x:v>0</x:v>
      </x:c>
      <x:c r="I87" t="str">
        <x:f>IF(F87&gt;0,"COSTO",IF(G87&gt;0,"CONSIGNACION","SIN COSTO"))</x:f>
        <x:v>SIN COSTO</x:v>
      </x:c>
    </x:row>
    <x:row r="88">
      <x:c r="E88" s="24"/>
      <x:c r="F88" s="24"/>
      <x:c r="G88" s="24"/>
      <x:c r="H88" s="24" t="n">
        <x:f>IF(F88&gt;0,F88,IF(G88&gt;0,G88,0))</x:f>
        <x:v>0</x:v>
      </x:c>
      <x:c r="I88" t="str">
        <x:f>IF(F88&gt;0,"COSTO",IF(G88&gt;0,"CONSIGNACION","SIN COSTO"))</x:f>
        <x:v>SIN COSTO</x:v>
      </x:c>
    </x:row>
    <x:row r="89">
      <x:c r="E89" s="24"/>
      <x:c r="F89" s="24"/>
      <x:c r="G89" s="24"/>
      <x:c r="H89" s="24" t="n">
        <x:f>IF(F89&gt;0,F89,IF(G89&gt;0,G89,0))</x:f>
        <x:v>0</x:v>
      </x:c>
      <x:c r="I89" t="str">
        <x:f>IF(F89&gt;0,"COSTO",IF(G89&gt;0,"CONSIGNACION","SIN COSTO"))</x:f>
        <x:v>SIN COSTO</x:v>
      </x:c>
    </x:row>
    <x:row r="90">
      <x:c r="E90" s="24"/>
      <x:c r="F90" s="24"/>
      <x:c r="G90" s="24"/>
      <x:c r="H90" s="24" t="n">
        <x:f>IF(F90&gt;0,F90,IF(G90&gt;0,G90,0))</x:f>
        <x:v>0</x:v>
      </x:c>
      <x:c r="I90" t="str">
        <x:f>IF(F90&gt;0,"COSTO",IF(G90&gt;0,"CONSIGNACION","SIN COSTO"))</x:f>
        <x:v>SIN COSTO</x:v>
      </x:c>
    </x:row>
    <x:row r="91">
      <x:c r="E91" s="24"/>
      <x:c r="F91" s="24"/>
      <x:c r="G91" s="24"/>
      <x:c r="H91" s="24" t="n">
        <x:f>IF(F91&gt;0,F91,IF(G91&gt;0,G91,0))</x:f>
        <x:v>0</x:v>
      </x:c>
      <x:c r="I91" t="str">
        <x:f>IF(F91&gt;0,"COSTO",IF(G91&gt;0,"CONSIGNACION","SIN COSTO"))</x:f>
        <x:v>SIN COSTO</x:v>
      </x:c>
    </x:row>
    <x:row r="92">
      <x:c r="E92" s="24"/>
      <x:c r="F92" s="24"/>
      <x:c r="G92" s="24"/>
      <x:c r="H92" s="24" t="n">
        <x:f>IF(F92&gt;0,F92,IF(G92&gt;0,G92,0))</x:f>
        <x:v>0</x:v>
      </x:c>
      <x:c r="I92" t="str">
        <x:f>IF(F92&gt;0,"COSTO",IF(G92&gt;0,"CONSIGNACION","SIN COSTO"))</x:f>
        <x:v>SIN COSTO</x:v>
      </x:c>
    </x:row>
    <x:row r="93">
      <x:c r="E93" s="24"/>
      <x:c r="F93" s="24"/>
      <x:c r="G93" s="24"/>
      <x:c r="H93" s="24" t="n">
        <x:f>IF(F93&gt;0,F93,IF(G93&gt;0,G93,0))</x:f>
        <x:v>0</x:v>
      </x:c>
      <x:c r="I93" t="str">
        <x:f>IF(F93&gt;0,"COSTO",IF(G93&gt;0,"CONSIGNACION","SIN COSTO"))</x:f>
        <x:v>SIN COSTO</x:v>
      </x:c>
    </x:row>
    <x:row r="94">
      <x:c r="E94" s="24"/>
      <x:c r="F94" s="24"/>
      <x:c r="G94" s="24"/>
      <x:c r="H94" s="24" t="n">
        <x:f>IF(F94&gt;0,F94,IF(G94&gt;0,G94,0))</x:f>
        <x:v>0</x:v>
      </x:c>
      <x:c r="I94" t="str">
        <x:f>IF(F94&gt;0,"COSTO",IF(G94&gt;0,"CONSIGNACION","SIN COSTO"))</x:f>
        <x:v>SIN COSTO</x:v>
      </x:c>
    </x:row>
    <x:row r="95">
      <x:c r="E95" s="24"/>
      <x:c r="F95" s="24"/>
      <x:c r="G95" s="24"/>
      <x:c r="H95" s="24" t="n">
        <x:f>IF(F95&gt;0,F95,IF(G95&gt;0,G95,0))</x:f>
        <x:v>0</x:v>
      </x:c>
      <x:c r="I95" t="str">
        <x:f>IF(F95&gt;0,"COSTO",IF(G95&gt;0,"CONSIGNACION","SIN COSTO"))</x:f>
        <x:v>SIN COSTO</x:v>
      </x:c>
    </x:row>
    <x:row r="96">
      <x:c r="E96" s="24"/>
      <x:c r="F96" s="24"/>
      <x:c r="G96" s="24"/>
      <x:c r="H96" s="24" t="n">
        <x:f>IF(F96&gt;0,F96,IF(G96&gt;0,G96,0))</x:f>
        <x:v>0</x:v>
      </x:c>
      <x:c r="I96" t="str">
        <x:f>IF(F96&gt;0,"COSTO",IF(G96&gt;0,"CONSIGNACION","SIN COSTO"))</x:f>
        <x:v>SIN COSTO</x:v>
      </x:c>
    </x:row>
    <x:row r="97">
      <x:c r="E97" s="24"/>
      <x:c r="F97" s="24"/>
      <x:c r="G97" s="24"/>
      <x:c r="H97" s="24" t="n">
        <x:f>IF(F97&gt;0,F97,IF(G97&gt;0,G97,0))</x:f>
        <x:v>0</x:v>
      </x:c>
      <x:c r="I97" t="str">
        <x:f>IF(F97&gt;0,"COSTO",IF(G97&gt;0,"CONSIGNACION","SIN COSTO"))</x:f>
        <x:v>SIN COSTO</x:v>
      </x:c>
    </x:row>
    <x:row r="98">
      <x:c r="E98" s="24"/>
      <x:c r="F98" s="24"/>
      <x:c r="G98" s="24"/>
      <x:c r="H98" s="24" t="n">
        <x:f>IF(F98&gt;0,F98,IF(G98&gt;0,G98,0))</x:f>
        <x:v>0</x:v>
      </x:c>
      <x:c r="I98" t="str">
        <x:f>IF(F98&gt;0,"COSTO",IF(G98&gt;0,"CONSIGNACION","SIN COSTO"))</x:f>
        <x:v>SIN COSTO</x:v>
      </x:c>
    </x:row>
    <x:row r="99">
      <x:c r="E99" s="24"/>
      <x:c r="F99" s="24"/>
      <x:c r="G99" s="24"/>
      <x:c r="H99" s="24" t="n">
        <x:f>IF(F99&gt;0,F99,IF(G99&gt;0,G99,0))</x:f>
        <x:v>0</x:v>
      </x:c>
      <x:c r="I99" t="str">
        <x:f>IF(F99&gt;0,"COSTO",IF(G99&gt;0,"CONSIGNACION","SIN COSTO"))</x:f>
        <x:v>SIN COSTO</x:v>
      </x:c>
    </x:row>
    <x:row r="100">
      <x:c r="E100" s="24"/>
      <x:c r="F100" s="24"/>
      <x:c r="G100" s="24"/>
      <x:c r="H100" s="24" t="n">
        <x:f>IF(F100&gt;0,F100,IF(G100&gt;0,G100,0))</x:f>
        <x:v>0</x:v>
      </x:c>
      <x:c r="I100" t="str">
        <x:f>IF(F100&gt;0,"COSTO",IF(G100&gt;0,"CONSIGNACION","SIN COSTO"))</x:f>
        <x:v>SIN COSTO</x:v>
      </x:c>
    </x:row>
    <x:row r="101">
      <x:c r="E101" s="24"/>
      <x:c r="F101" s="24"/>
      <x:c r="G101" s="24"/>
      <x:c r="H101" s="24" t="n">
        <x:f>IF(F101&gt;0,F101,IF(G101&gt;0,G101,0))</x:f>
        <x:v>0</x:v>
      </x:c>
      <x:c r="I101" t="str">
        <x:f>IF(F101&gt;0,"COSTO",IF(G101&gt;0,"CONSIGNACION","SIN COSTO"))</x:f>
        <x:v>SIN COSTO</x:v>
      </x:c>
    </x:row>
    <x:row r="102">
      <x:c r="E102" s="24"/>
      <x:c r="F102" s="24"/>
      <x:c r="G102" s="24"/>
      <x:c r="H102" s="24" t="n">
        <x:f>IF(F102&gt;0,F102,IF(G102&gt;0,G102,0))</x:f>
        <x:v>0</x:v>
      </x:c>
      <x:c r="I102" t="str">
        <x:f>IF(F102&gt;0,"COSTO",IF(G102&gt;0,"CONSIGNACION","SIN COSTO"))</x:f>
        <x:v>SIN COSTO</x:v>
      </x:c>
    </x:row>
    <x:row r="103">
      <x:c r="E103" s="24"/>
      <x:c r="F103" s="24"/>
      <x:c r="G103" s="24"/>
      <x:c r="H103" s="24" t="n">
        <x:f>IF(F103&gt;0,F103,IF(G103&gt;0,G103,0))</x:f>
        <x:v>0</x:v>
      </x:c>
      <x:c r="I103" t="str">
        <x:f>IF(F103&gt;0,"COSTO",IF(G103&gt;0,"CONSIGNACION","SIN COSTO"))</x:f>
        <x:v>SIN COSTO</x:v>
      </x:c>
    </x:row>
    <x:row r="104">
      <x:c r="E104" s="24"/>
      <x:c r="F104" s="24"/>
      <x:c r="G104" s="24"/>
      <x:c r="H104" s="24" t="n">
        <x:f>IF(F104&gt;0,F104,IF(G104&gt;0,G104,0))</x:f>
        <x:v>0</x:v>
      </x:c>
      <x:c r="I104" t="str">
        <x:f>IF(F104&gt;0,"COSTO",IF(G104&gt;0,"CONSIGNACION","SIN COSTO"))</x:f>
        <x:v>SIN COSTO</x:v>
      </x:c>
    </x:row>
    <x:row r="105">
      <x:c r="E105" s="24"/>
      <x:c r="F105" s="24"/>
      <x:c r="G105" s="24"/>
      <x:c r="H105" s="24" t="n">
        <x:f>IF(F105&gt;0,F105,IF(G105&gt;0,G105,0))</x:f>
        <x:v>0</x:v>
      </x:c>
      <x:c r="I105" t="str">
        <x:f>IF(F105&gt;0,"COSTO",IF(G105&gt;0,"CONSIGNACION","SIN COSTO"))</x:f>
        <x:v>SIN COSTO</x:v>
      </x:c>
    </x:row>
    <x:row r="106">
      <x:c r="E106" s="24"/>
      <x:c r="F106" s="24"/>
      <x:c r="G106" s="24"/>
      <x:c r="H106" s="24" t="n">
        <x:f>IF(F106&gt;0,F106,IF(G106&gt;0,G106,0))</x:f>
        <x:v>0</x:v>
      </x:c>
      <x:c r="I106" t="str">
        <x:f>IF(F106&gt;0,"COSTO",IF(G106&gt;0,"CONSIGNACION","SIN COSTO"))</x:f>
        <x:v>SIN COSTO</x:v>
      </x:c>
    </x:row>
    <x:row r="107">
      <x:c r="E107" s="24"/>
      <x:c r="F107" s="24"/>
      <x:c r="G107" s="24"/>
      <x:c r="H107" s="24" t="n">
        <x:f>IF(F107&gt;0,F107,IF(G107&gt;0,G107,0))</x:f>
        <x:v>0</x:v>
      </x:c>
      <x:c r="I107" t="str">
        <x:f>IF(F107&gt;0,"COSTO",IF(G107&gt;0,"CONSIGNACION","SIN COSTO"))</x:f>
        <x:v>SIN COSTO</x:v>
      </x:c>
    </x:row>
    <x:row r="108">
      <x:c r="E108" s="24"/>
      <x:c r="F108" s="24"/>
      <x:c r="G108" s="24"/>
      <x:c r="H108" s="24" t="n">
        <x:f>IF(F108&gt;0,F108,IF(G108&gt;0,G108,0))</x:f>
        <x:v>0</x:v>
      </x:c>
      <x:c r="I108" t="str">
        <x:f>IF(F108&gt;0,"COSTO",IF(G108&gt;0,"CONSIGNACION","SIN COSTO"))</x:f>
        <x:v>SIN COSTO</x:v>
      </x:c>
    </x:row>
    <x:row r="109">
      <x:c r="E109" s="24"/>
      <x:c r="F109" s="24"/>
      <x:c r="G109" s="24"/>
      <x:c r="H109" s="24" t="n">
        <x:f>IF(F109&gt;0,F109,IF(G109&gt;0,G109,0))</x:f>
        <x:v>0</x:v>
      </x:c>
      <x:c r="I109" t="str">
        <x:f>IF(F109&gt;0,"COSTO",IF(G109&gt;0,"CONSIGNACION","SIN COSTO"))</x:f>
        <x:v>SIN COSTO</x:v>
      </x:c>
    </x:row>
    <x:row r="110">
      <x:c r="E110" s="24"/>
      <x:c r="F110" s="24"/>
      <x:c r="G110" s="24"/>
      <x:c r="H110" s="24" t="n">
        <x:f>IF(F110&gt;0,F110,IF(G110&gt;0,G110,0))</x:f>
        <x:v>0</x:v>
      </x:c>
      <x:c r="I110" t="str">
        <x:f>IF(F110&gt;0,"COSTO",IF(G110&gt;0,"CONSIGNACION","SIN COSTO"))</x:f>
        <x:v>SIN COSTO</x:v>
      </x:c>
    </x:row>
    <x:row r="111">
      <x:c r="E111" s="24"/>
      <x:c r="F111" s="24"/>
      <x:c r="G111" s="24"/>
      <x:c r="H111" s="24" t="n">
        <x:f>IF(F111&gt;0,F111,IF(G111&gt;0,G111,0))</x:f>
        <x:v>0</x:v>
      </x:c>
      <x:c r="I111" t="str">
        <x:f>IF(F111&gt;0,"COSTO",IF(G111&gt;0,"CONSIGNACION","SIN COSTO"))</x:f>
        <x:v>SIN COSTO</x:v>
      </x:c>
    </x:row>
    <x:row r="112">
      <x:c r="E112" s="24"/>
      <x:c r="F112" s="24"/>
      <x:c r="G112" s="24"/>
      <x:c r="H112" s="24" t="n">
        <x:f>IF(F112&gt;0,F112,IF(G112&gt;0,G112,0))</x:f>
        <x:v>0</x:v>
      </x:c>
      <x:c r="I112" t="str">
        <x:f>IF(F112&gt;0,"COSTO",IF(G112&gt;0,"CONSIGNACION","SIN COSTO"))</x:f>
        <x:v>SIN COSTO</x:v>
      </x:c>
    </x:row>
    <x:row r="113">
      <x:c r="E113" s="24"/>
      <x:c r="F113" s="24"/>
      <x:c r="G113" s="24"/>
      <x:c r="H113" s="24" t="n">
        <x:f>IF(F113&gt;0,F113,IF(G113&gt;0,G113,0))</x:f>
        <x:v>0</x:v>
      </x:c>
      <x:c r="I113" t="str">
        <x:f>IF(F113&gt;0,"COSTO",IF(G113&gt;0,"CONSIGNACION","SIN COSTO"))</x:f>
        <x:v>SIN COSTO</x:v>
      </x:c>
    </x:row>
    <x:row r="114">
      <x:c r="E114" s="24"/>
      <x:c r="F114" s="24"/>
      <x:c r="G114" s="24"/>
      <x:c r="H114" s="24" t="n">
        <x:f>IF(F114&gt;0,F114,IF(G114&gt;0,G114,0))</x:f>
        <x:v>0</x:v>
      </x:c>
      <x:c r="I114" t="str">
        <x:f>IF(F114&gt;0,"COSTO",IF(G114&gt;0,"CONSIGNACION","SIN COSTO"))</x:f>
        <x:v>SIN COSTO</x:v>
      </x:c>
    </x:row>
    <x:row r="115">
      <x:c r="E115" s="24"/>
      <x:c r="F115" s="24"/>
      <x:c r="G115" s="24"/>
      <x:c r="H115" s="24" t="n">
        <x:f>IF(F115&gt;0,F115,IF(G115&gt;0,G115,0))</x:f>
        <x:v>0</x:v>
      </x:c>
      <x:c r="I115" t="str">
        <x:f>IF(F115&gt;0,"COSTO",IF(G115&gt;0,"CONSIGNACION","SIN COSTO"))</x:f>
        <x:v>SIN COSTO</x:v>
      </x:c>
    </x:row>
    <x:row r="116">
      <x:c r="E116" s="24"/>
      <x:c r="F116" s="24"/>
      <x:c r="G116" s="24"/>
      <x:c r="H116" s="24" t="n">
        <x:f>IF(F116&gt;0,F116,IF(G116&gt;0,G116,0))</x:f>
        <x:v>0</x:v>
      </x:c>
      <x:c r="I116" t="str">
        <x:f>IF(F116&gt;0,"COSTO",IF(G116&gt;0,"CONSIGNACION","SIN COSTO"))</x:f>
        <x:v>SIN COSTO</x:v>
      </x:c>
    </x:row>
    <x:row r="117">
      <x:c r="E117" s="24"/>
      <x:c r="F117" s="24"/>
      <x:c r="G117" s="24"/>
      <x:c r="H117" s="24" t="n">
        <x:f>IF(F117&gt;0,F117,IF(G117&gt;0,G117,0))</x:f>
        <x:v>0</x:v>
      </x:c>
      <x:c r="I117" t="str">
        <x:f>IF(F117&gt;0,"COSTO",IF(G117&gt;0,"CONSIGNACION","SIN COSTO"))</x:f>
        <x:v>SIN COSTO</x:v>
      </x:c>
    </x:row>
    <x:row r="118">
      <x:c r="E118" s="24"/>
      <x:c r="F118" s="24"/>
      <x:c r="G118" s="24"/>
      <x:c r="H118" s="24" t="n">
        <x:f>IF(F118&gt;0,F118,IF(G118&gt;0,G118,0))</x:f>
        <x:v>0</x:v>
      </x:c>
      <x:c r="I118" t="str">
        <x:f>IF(F118&gt;0,"COSTO",IF(G118&gt;0,"CONSIGNACION","SIN COSTO"))</x:f>
        <x:v>SIN COSTO</x:v>
      </x:c>
    </x:row>
    <x:row r="119">
      <x:c r="E119" s="24"/>
      <x:c r="F119" s="24"/>
      <x:c r="G119" s="24"/>
      <x:c r="H119" s="24" t="n">
        <x:f>IF(F119&gt;0,F119,IF(G119&gt;0,G119,0))</x:f>
        <x:v>0</x:v>
      </x:c>
      <x:c r="I119" t="str">
        <x:f>IF(F119&gt;0,"COSTO",IF(G119&gt;0,"CONSIGNACION","SIN COSTO"))</x:f>
        <x:v>SIN COSTO</x:v>
      </x:c>
    </x:row>
    <x:row r="120">
      <x:c r="E120" s="24"/>
      <x:c r="F120" s="24"/>
      <x:c r="G120" s="24"/>
      <x:c r="H120" s="24" t="n">
        <x:f>IF(F120&gt;0,F120,IF(G120&gt;0,G120,0))</x:f>
        <x:v>0</x:v>
      </x:c>
      <x:c r="I120" t="str">
        <x:f>IF(F120&gt;0,"COSTO",IF(G120&gt;0,"CONSIGNACION","SIN COSTO"))</x:f>
        <x:v>SIN COSTO</x:v>
      </x:c>
    </x:row>
    <x:row r="121">
      <x:c r="E121" s="24"/>
      <x:c r="F121" s="24"/>
      <x:c r="G121" s="24"/>
      <x:c r="H121" s="24" t="n">
        <x:f>IF(F121&gt;0,F121,IF(G121&gt;0,G121,0))</x:f>
        <x:v>0</x:v>
      </x:c>
      <x:c r="I121" t="str">
        <x:f>IF(F121&gt;0,"COSTO",IF(G121&gt;0,"CONSIGNACION","SIN COSTO"))</x:f>
        <x:v>SIN COSTO</x:v>
      </x:c>
    </x:row>
    <x:row r="122">
      <x:c r="E122" s="24"/>
      <x:c r="F122" s="24"/>
      <x:c r="G122" s="24"/>
      <x:c r="H122" s="24" t="n">
        <x:f>IF(F122&gt;0,F122,IF(G122&gt;0,G122,0))</x:f>
        <x:v>0</x:v>
      </x:c>
      <x:c r="I122" t="str">
        <x:f>IF(F122&gt;0,"COSTO",IF(G122&gt;0,"CONSIGNACION","SIN COSTO"))</x:f>
        <x:v>SIN COSTO</x:v>
      </x:c>
    </x:row>
    <x:row r="123">
      <x:c r="E123" s="24"/>
      <x:c r="F123" s="24"/>
      <x:c r="G123" s="24"/>
      <x:c r="H123" s="24" t="n">
        <x:f>IF(F123&gt;0,F123,IF(G123&gt;0,G123,0))</x:f>
        <x:v>0</x:v>
      </x:c>
      <x:c r="I123" t="str">
        <x:f>IF(F123&gt;0,"COSTO",IF(G123&gt;0,"CONSIGNACION","SIN COSTO"))</x:f>
        <x:v>SIN COSTO</x:v>
      </x:c>
    </x:row>
    <x:row r="124">
      <x:c r="E124" s="24"/>
      <x:c r="F124" s="24"/>
      <x:c r="G124" s="24"/>
      <x:c r="H124" s="24" t="n">
        <x:f>IF(F124&gt;0,F124,IF(G124&gt;0,G124,0))</x:f>
        <x:v>0</x:v>
      </x:c>
      <x:c r="I124" t="str">
        <x:f>IF(F124&gt;0,"COSTO",IF(G124&gt;0,"CONSIGNACION","SIN COSTO"))</x:f>
        <x:v>SIN COSTO</x:v>
      </x:c>
    </x:row>
    <x:row r="125">
      <x:c r="E125" s="24"/>
      <x:c r="F125" s="24"/>
      <x:c r="G125" s="24"/>
      <x:c r="H125" s="24" t="n">
        <x:f>IF(F125&gt;0,F125,IF(G125&gt;0,G125,0))</x:f>
        <x:v>0</x:v>
      </x:c>
      <x:c r="I125" t="str">
        <x:f>IF(F125&gt;0,"COSTO",IF(G125&gt;0,"CONSIGNACION","SIN COSTO"))</x:f>
        <x:v>SIN COSTO</x:v>
      </x:c>
    </x:row>
    <x:row r="126">
      <x:c r="E126" s="24"/>
      <x:c r="F126" s="24"/>
      <x:c r="G126" s="24"/>
      <x:c r="H126" s="24" t="n">
        <x:f>IF(F126&gt;0,F126,IF(G126&gt;0,G126,0))</x:f>
        <x:v>0</x:v>
      </x:c>
      <x:c r="I126" t="str">
        <x:f>IF(F126&gt;0,"COSTO",IF(G126&gt;0,"CONSIGNACION","SIN COSTO"))</x:f>
        <x:v>SIN COSTO</x:v>
      </x:c>
    </x:row>
    <x:row r="127">
      <x:c r="E127" s="24"/>
      <x:c r="F127" s="24"/>
      <x:c r="G127" s="24"/>
      <x:c r="H127" s="24" t="n">
        <x:f>IF(F127&gt;0,F127,IF(G127&gt;0,G127,0))</x:f>
        <x:v>0</x:v>
      </x:c>
      <x:c r="I127" t="str">
        <x:f>IF(F127&gt;0,"COSTO",IF(G127&gt;0,"CONSIGNACION","SIN COSTO"))</x:f>
        <x:v>SIN COSTO</x:v>
      </x:c>
    </x:row>
    <x:row r="128">
      <x:c r="E128" s="24"/>
      <x:c r="F128" s="24"/>
      <x:c r="G128" s="24"/>
      <x:c r="H128" s="24" t="n">
        <x:f>IF(F128&gt;0,F128,IF(G128&gt;0,G128,0))</x:f>
        <x:v>0</x:v>
      </x:c>
      <x:c r="I128" t="str">
        <x:f>IF(F128&gt;0,"COSTO",IF(G128&gt;0,"CONSIGNACION","SIN COSTO"))</x:f>
        <x:v>SIN COSTO</x:v>
      </x:c>
    </x:row>
    <x:row r="129">
      <x:c r="E129" s="24"/>
      <x:c r="F129" s="24"/>
      <x:c r="G129" s="24"/>
      <x:c r="H129" s="24" t="n">
        <x:f>IF(F129&gt;0,F129,IF(G129&gt;0,G129,0))</x:f>
        <x:v>0</x:v>
      </x:c>
      <x:c r="I129" t="str">
        <x:f>IF(F129&gt;0,"COSTO",IF(G129&gt;0,"CONSIGNACION","SIN COSTO"))</x:f>
        <x:v>SIN COSTO</x:v>
      </x:c>
    </x:row>
    <x:row r="130">
      <x:c r="E130" s="24"/>
      <x:c r="F130" s="24"/>
      <x:c r="G130" s="24"/>
      <x:c r="H130" s="24" t="n">
        <x:f>IF(F130&gt;0,F130,IF(G130&gt;0,G130,0))</x:f>
        <x:v>0</x:v>
      </x:c>
      <x:c r="I130" t="str">
        <x:f>IF(F130&gt;0,"COSTO",IF(G130&gt;0,"CONSIGNACION","SIN COSTO"))</x:f>
        <x:v>SIN COSTO</x:v>
      </x:c>
    </x:row>
    <x:row r="131">
      <x:c r="E131" s="24"/>
      <x:c r="F131" s="24"/>
      <x:c r="G131" s="24"/>
      <x:c r="H131" s="24" t="n">
        <x:f>IF(F131&gt;0,F131,IF(G131&gt;0,G131,0))</x:f>
        <x:v>0</x:v>
      </x:c>
      <x:c r="I131" t="str">
        <x:f>IF(F131&gt;0,"COSTO",IF(G131&gt;0,"CONSIGNACION","SIN COSTO"))</x:f>
        <x:v>SIN COSTO</x:v>
      </x:c>
    </x:row>
    <x:row r="132">
      <x:c r="E132" s="24"/>
      <x:c r="F132" s="24"/>
      <x:c r="G132" s="24"/>
      <x:c r="H132" s="24" t="n">
        <x:f>IF(F132&gt;0,F132,IF(G132&gt;0,G132,0))</x:f>
        <x:v>0</x:v>
      </x:c>
      <x:c r="I132" t="str">
        <x:f>IF(F132&gt;0,"COSTO",IF(G132&gt;0,"CONSIGNACION","SIN COSTO"))</x:f>
        <x:v>SIN COSTO</x:v>
      </x:c>
    </x:row>
    <x:row r="133">
      <x:c r="E133" s="24"/>
      <x:c r="F133" s="24"/>
      <x:c r="G133" s="24"/>
      <x:c r="H133" s="24" t="n">
        <x:f>IF(F133&gt;0,F133,IF(G133&gt;0,G133,0))</x:f>
        <x:v>0</x:v>
      </x:c>
      <x:c r="I133" t="str">
        <x:f>IF(F133&gt;0,"COSTO",IF(G133&gt;0,"CONSIGNACION","SIN COSTO"))</x:f>
        <x:v>SIN COSTO</x:v>
      </x:c>
    </x:row>
    <x:row r="134">
      <x:c r="E134" s="24"/>
      <x:c r="F134" s="24"/>
      <x:c r="G134" s="24"/>
      <x:c r="H134" s="24" t="n">
        <x:f>IF(F134&gt;0,F134,IF(G134&gt;0,G134,0))</x:f>
        <x:v>0</x:v>
      </x:c>
      <x:c r="I134" t="str">
        <x:f>IF(F134&gt;0,"COSTO",IF(G134&gt;0,"CONSIGNACION","SIN COSTO"))</x:f>
        <x:v>SIN COSTO</x:v>
      </x:c>
    </x:row>
    <x:row r="135">
      <x:c r="E135" s="24"/>
      <x:c r="F135" s="24"/>
      <x:c r="G135" s="24"/>
      <x:c r="H135" s="24" t="n">
        <x:f>IF(F135&gt;0,F135,IF(G135&gt;0,G135,0))</x:f>
        <x:v>0</x:v>
      </x:c>
      <x:c r="I135" t="str">
        <x:f>IF(F135&gt;0,"COSTO",IF(G135&gt;0,"CONSIGNACION","SIN COSTO"))</x:f>
        <x:v>SIN COSTO</x:v>
      </x:c>
    </x:row>
    <x:row r="136">
      <x:c r="E136" s="24"/>
      <x:c r="F136" s="24"/>
      <x:c r="G136" s="24"/>
      <x:c r="H136" s="24" t="n">
        <x:f>IF(F136&gt;0,F136,IF(G136&gt;0,G136,0))</x:f>
        <x:v>0</x:v>
      </x:c>
      <x:c r="I136" t="str">
        <x:f>IF(F136&gt;0,"COSTO",IF(G136&gt;0,"CONSIGNACION","SIN COSTO"))</x:f>
        <x:v>SIN COSTO</x:v>
      </x:c>
    </x:row>
    <x:row r="137">
      <x:c r="E137" s="24"/>
      <x:c r="F137" s="24"/>
      <x:c r="G137" s="24"/>
      <x:c r="H137" s="24" t="n">
        <x:f>IF(F137&gt;0,F137,IF(G137&gt;0,G137,0))</x:f>
        <x:v>0</x:v>
      </x:c>
      <x:c r="I137" t="str">
        <x:f>IF(F137&gt;0,"COSTO",IF(G137&gt;0,"CONSIGNACION","SIN COSTO"))</x:f>
        <x:v>SIN COSTO</x:v>
      </x:c>
    </x:row>
    <x:row r="138">
      <x:c r="E138" s="24"/>
      <x:c r="F138" s="24"/>
      <x:c r="G138" s="24"/>
      <x:c r="H138" s="24" t="n">
        <x:f>IF(F138&gt;0,F138,IF(G138&gt;0,G138,0))</x:f>
        <x:v>0</x:v>
      </x:c>
      <x:c r="I138" t="str">
        <x:f>IF(F138&gt;0,"COSTO",IF(G138&gt;0,"CONSIGNACION","SIN COSTO"))</x:f>
        <x:v>SIN COSTO</x:v>
      </x:c>
    </x:row>
    <x:row r="139">
      <x:c r="E139" s="24"/>
      <x:c r="F139" s="24"/>
      <x:c r="G139" s="24"/>
      <x:c r="H139" s="24" t="n">
        <x:f>IF(F139&gt;0,F139,IF(G139&gt;0,G139,0))</x:f>
        <x:v>0</x:v>
      </x:c>
      <x:c r="I139" t="str">
        <x:f>IF(F139&gt;0,"COSTO",IF(G139&gt;0,"CONSIGNACION","SIN COSTO"))</x:f>
        <x:v>SIN COSTO</x:v>
      </x:c>
    </x:row>
    <x:row r="140">
      <x:c r="E140" s="24"/>
      <x:c r="F140" s="24"/>
      <x:c r="G140" s="24"/>
      <x:c r="H140" s="24" t="n">
        <x:f>IF(F140&gt;0,F140,IF(G140&gt;0,G140,0))</x:f>
        <x:v>0</x:v>
      </x:c>
      <x:c r="I140" t="str">
        <x:f>IF(F140&gt;0,"COSTO",IF(G140&gt;0,"CONSIGNACION","SIN COSTO"))</x:f>
        <x:v>SIN COSTO</x:v>
      </x:c>
    </x:row>
    <x:row r="141">
      <x:c r="E141" s="24"/>
      <x:c r="F141" s="24"/>
      <x:c r="G141" s="24"/>
      <x:c r="H141" s="24" t="n">
        <x:f>IF(F141&gt;0,F141,IF(G141&gt;0,G141,0))</x:f>
        <x:v>0</x:v>
      </x:c>
      <x:c r="I141" t="str">
        <x:f>IF(F141&gt;0,"COSTO",IF(G141&gt;0,"CONSIGNACION","SIN COSTO"))</x:f>
        <x:v>SIN COSTO</x:v>
      </x:c>
    </x:row>
    <x:row r="142">
      <x:c r="E142" s="24"/>
      <x:c r="F142" s="24"/>
      <x:c r="G142" s="24"/>
      <x:c r="H142" s="24" t="n">
        <x:f>IF(F142&gt;0,F142,IF(G142&gt;0,G142,0))</x:f>
        <x:v>0</x:v>
      </x:c>
      <x:c r="I142" t="str">
        <x:f>IF(F142&gt;0,"COSTO",IF(G142&gt;0,"CONSIGNACION","SIN COSTO"))</x:f>
        <x:v>SIN COSTO</x:v>
      </x:c>
    </x:row>
    <x:row r="143">
      <x:c r="E143" s="24"/>
      <x:c r="F143" s="24"/>
      <x:c r="G143" s="24"/>
      <x:c r="H143" s="24" t="n">
        <x:f>IF(F143&gt;0,F143,IF(G143&gt;0,G143,0))</x:f>
        <x:v>0</x:v>
      </x:c>
      <x:c r="I143" t="str">
        <x:f>IF(F143&gt;0,"COSTO",IF(G143&gt;0,"CONSIGNACION","SIN COSTO"))</x:f>
        <x:v>SIN COSTO</x:v>
      </x:c>
    </x:row>
    <x:row r="144">
      <x:c r="E144" s="24"/>
      <x:c r="F144" s="24"/>
      <x:c r="G144" s="24"/>
      <x:c r="H144" s="24" t="n">
        <x:f>IF(F144&gt;0,F144,IF(G144&gt;0,G144,0))</x:f>
        <x:v>0</x:v>
      </x:c>
      <x:c r="I144" t="str">
        <x:f>IF(F144&gt;0,"COSTO",IF(G144&gt;0,"CONSIGNACION","SIN COSTO"))</x:f>
        <x:v>SIN COSTO</x:v>
      </x:c>
    </x:row>
    <x:row r="145">
      <x:c r="E145" s="24"/>
      <x:c r="F145" s="24"/>
      <x:c r="G145" s="24"/>
      <x:c r="H145" s="24" t="n">
        <x:f>IF(F145&gt;0,F145,IF(G145&gt;0,G145,0))</x:f>
        <x:v>0</x:v>
      </x:c>
      <x:c r="I145" t="str">
        <x:f>IF(F145&gt;0,"COSTO",IF(G145&gt;0,"CONSIGNACION","SIN COSTO"))</x:f>
        <x:v>SIN COSTO</x:v>
      </x:c>
    </x:row>
    <x:row r="146">
      <x:c r="E146" s="24"/>
      <x:c r="F146" s="24"/>
      <x:c r="G146" s="24"/>
      <x:c r="H146" s="24" t="n">
        <x:f>IF(F146&gt;0,F146,IF(G146&gt;0,G146,0))</x:f>
        <x:v>0</x:v>
      </x:c>
      <x:c r="I146" t="str">
        <x:f>IF(F146&gt;0,"COSTO",IF(G146&gt;0,"CONSIGNACION","SIN COSTO"))</x:f>
        <x:v>SIN COSTO</x:v>
      </x:c>
    </x:row>
    <x:row r="147">
      <x:c r="E147" s="24"/>
      <x:c r="F147" s="24"/>
      <x:c r="G147" s="24"/>
      <x:c r="H147" s="24" t="n">
        <x:f>IF(F147&gt;0,F147,IF(G147&gt;0,G147,0))</x:f>
        <x:v>0</x:v>
      </x:c>
      <x:c r="I147" t="str">
        <x:f>IF(F147&gt;0,"COSTO",IF(G147&gt;0,"CONSIGNACION","SIN COSTO"))</x:f>
        <x:v>SIN COSTO</x:v>
      </x:c>
    </x:row>
    <x:row r="148">
      <x:c r="E148" s="24"/>
      <x:c r="F148" s="24"/>
      <x:c r="G148" s="24"/>
      <x:c r="H148" s="24" t="n">
        <x:f>IF(F148&gt;0,F148,IF(G148&gt;0,G148,0))</x:f>
        <x:v>0</x:v>
      </x:c>
      <x:c r="I148" t="str">
        <x:f>IF(F148&gt;0,"COSTO",IF(G148&gt;0,"CONSIGNACION","SIN COSTO"))</x:f>
        <x:v>SIN COSTO</x:v>
      </x:c>
    </x:row>
    <x:row r="149">
      <x:c r="E149" s="24"/>
      <x:c r="F149" s="24"/>
      <x:c r="G149" s="24"/>
      <x:c r="H149" s="24" t="n">
        <x:f>IF(F149&gt;0,F149,IF(G149&gt;0,G149,0))</x:f>
        <x:v>0</x:v>
      </x:c>
      <x:c r="I149" t="str">
        <x:f>IF(F149&gt;0,"COSTO",IF(G149&gt;0,"CONSIGNACION","SIN COSTO"))</x:f>
        <x:v>SIN COSTO</x:v>
      </x:c>
    </x:row>
    <x:row r="150">
      <x:c r="E150" s="24"/>
      <x:c r="F150" s="24"/>
      <x:c r="G150" s="24"/>
      <x:c r="H150" s="24" t="n">
        <x:f>IF(F150&gt;0,F150,IF(G150&gt;0,G150,0))</x:f>
        <x:v>0</x:v>
      </x:c>
      <x:c r="I150" t="str">
        <x:f>IF(F150&gt;0,"COSTO",IF(G150&gt;0,"CONSIGNACION","SIN COSTO"))</x:f>
        <x:v>SIN COSTO</x:v>
      </x:c>
    </x:row>
    <x:row r="151">
      <x:c r="E151" s="24"/>
      <x:c r="F151" s="24"/>
      <x:c r="G151" s="24"/>
      <x:c r="H151" s="24" t="n">
        <x:f>IF(F151&gt;0,F151,IF(G151&gt;0,G151,0))</x:f>
        <x:v>0</x:v>
      </x:c>
      <x:c r="I151" t="str">
        <x:f>IF(F151&gt;0,"COSTO",IF(G151&gt;0,"CONSIGNACION","SIN COSTO"))</x:f>
        <x:v>SIN COSTO</x:v>
      </x:c>
    </x:row>
    <x:row r="152">
      <x:c r="E152" s="24"/>
      <x:c r="F152" s="24"/>
      <x:c r="G152" s="24"/>
      <x:c r="H152" s="24" t="n">
        <x:f>IF(F152&gt;0,F152,IF(G152&gt;0,G152,0))</x:f>
        <x:v>0</x:v>
      </x:c>
      <x:c r="I152" t="str">
        <x:f>IF(F152&gt;0,"COSTO",IF(G152&gt;0,"CONSIGNACION","SIN COSTO"))</x:f>
        <x:v>SIN COSTO</x:v>
      </x:c>
    </x:row>
    <x:row r="153">
      <x:c r="E153" s="24"/>
      <x:c r="F153" s="24"/>
      <x:c r="G153" s="24"/>
      <x:c r="H153" s="24" t="n">
        <x:f>IF(F153&gt;0,F153,IF(G153&gt;0,G153,0))</x:f>
        <x:v>0</x:v>
      </x:c>
      <x:c r="I153" t="str">
        <x:f>IF(F153&gt;0,"COSTO",IF(G153&gt;0,"CONSIGNACION","SIN COSTO"))</x:f>
        <x:v>SIN COSTO</x:v>
      </x:c>
    </x:row>
    <x:row r="154">
      <x:c r="E154" s="24"/>
      <x:c r="F154" s="24"/>
      <x:c r="G154" s="24"/>
      <x:c r="H154" s="24" t="n">
        <x:f>IF(F154&gt;0,F154,IF(G154&gt;0,G154,0))</x:f>
        <x:v>0</x:v>
      </x:c>
      <x:c r="I154" t="str">
        <x:f>IF(F154&gt;0,"COSTO",IF(G154&gt;0,"CONSIGNACION","SIN COSTO"))</x:f>
        <x:v>SIN COSTO</x:v>
      </x:c>
    </x:row>
    <x:row r="155">
      <x:c r="E155" s="24"/>
      <x:c r="F155" s="24"/>
      <x:c r="G155" s="24"/>
      <x:c r="H155" s="24" t="n">
        <x:f>IF(F155&gt;0,F155,IF(G155&gt;0,G155,0))</x:f>
        <x:v>0</x:v>
      </x:c>
      <x:c r="I155" t="str">
        <x:f>IF(F155&gt;0,"COSTO",IF(G155&gt;0,"CONSIGNACION","SIN COSTO"))</x:f>
        <x:v>SIN COSTO</x:v>
      </x:c>
    </x:row>
    <x:row r="156">
      <x:c r="E156" s="24"/>
      <x:c r="F156" s="24"/>
      <x:c r="G156" s="24"/>
      <x:c r="H156" s="24" t="n">
        <x:f>IF(F156&gt;0,F156,IF(G156&gt;0,G156,0))</x:f>
        <x:v>0</x:v>
      </x:c>
      <x:c r="I156" t="str">
        <x:f>IF(F156&gt;0,"COSTO",IF(G156&gt;0,"CONSIGNACION","SIN COSTO"))</x:f>
        <x:v>SIN COSTO</x:v>
      </x:c>
    </x:row>
    <x:row r="157">
      <x:c r="E157" s="24"/>
      <x:c r="F157" s="24"/>
      <x:c r="G157" s="24"/>
      <x:c r="H157" s="24" t="n">
        <x:f>IF(F157&gt;0,F157,IF(G157&gt;0,G157,0))</x:f>
        <x:v>0</x:v>
      </x:c>
      <x:c r="I157" t="str">
        <x:f>IF(F157&gt;0,"COSTO",IF(G157&gt;0,"CONSIGNACION","SIN COSTO"))</x:f>
        <x:v>SIN COSTO</x:v>
      </x:c>
    </x:row>
    <x:row r="158">
      <x:c r="E158" s="24"/>
      <x:c r="F158" s="24"/>
      <x:c r="G158" s="24"/>
      <x:c r="H158" s="24" t="n">
        <x:f>IF(F158&gt;0,F158,IF(G158&gt;0,G158,0))</x:f>
        <x:v>0</x:v>
      </x:c>
      <x:c r="I158" t="str">
        <x:f>IF(F158&gt;0,"COSTO",IF(G158&gt;0,"CONSIGNACION","SIN COSTO"))</x:f>
        <x:v>SIN COSTO</x:v>
      </x:c>
    </x:row>
    <x:row r="159">
      <x:c r="E159" s="24"/>
      <x:c r="F159" s="24"/>
      <x:c r="G159" s="24"/>
      <x:c r="H159" s="24" t="n">
        <x:f>IF(F159&gt;0,F159,IF(G159&gt;0,G159,0))</x:f>
        <x:v>0</x:v>
      </x:c>
      <x:c r="I159" t="str">
        <x:f>IF(F159&gt;0,"COSTO",IF(G159&gt;0,"CONSIGNACION","SIN COSTO"))</x:f>
        <x:v>SIN COSTO</x:v>
      </x:c>
    </x:row>
    <x:row r="160">
      <x:c r="E160" s="24"/>
      <x:c r="F160" s="24"/>
      <x:c r="G160" s="24"/>
      <x:c r="H160" s="24" t="n">
        <x:f>IF(F160&gt;0,F160,IF(G160&gt;0,G160,0))</x:f>
        <x:v>0</x:v>
      </x:c>
      <x:c r="I160" t="str">
        <x:f>IF(F160&gt;0,"COSTO",IF(G160&gt;0,"CONSIGNACION","SIN COSTO"))</x:f>
        <x:v>SIN COSTO</x:v>
      </x:c>
    </x:row>
    <x:row r="161">
      <x:c r="E161" s="24"/>
      <x:c r="F161" s="24"/>
      <x:c r="G161" s="24"/>
      <x:c r="H161" s="24" t="n">
        <x:f>IF(F161&gt;0,F161,IF(G161&gt;0,G161,0))</x:f>
        <x:v>0</x:v>
      </x:c>
      <x:c r="I161" t="str">
        <x:f>IF(F161&gt;0,"COSTO",IF(G161&gt;0,"CONSIGNACION","SIN COSTO"))</x:f>
        <x:v>SIN COSTO</x:v>
      </x:c>
    </x:row>
    <x:row r="162">
      <x:c r="E162" s="24"/>
      <x:c r="F162" s="24"/>
      <x:c r="G162" s="24"/>
      <x:c r="H162" s="24" t="n">
        <x:f>IF(F162&gt;0,F162,IF(G162&gt;0,G162,0))</x:f>
        <x:v>0</x:v>
      </x:c>
      <x:c r="I162" t="str">
        <x:f>IF(F162&gt;0,"COSTO",IF(G162&gt;0,"CONSIGNACION","SIN COSTO"))</x:f>
        <x:v>SIN COSTO</x:v>
      </x:c>
    </x:row>
    <x:row r="163">
      <x:c r="E163" s="24"/>
      <x:c r="F163" s="24"/>
      <x:c r="G163" s="24"/>
      <x:c r="H163" s="24" t="n">
        <x:f>IF(F163&gt;0,F163,IF(G163&gt;0,G163,0))</x:f>
        <x:v>0</x:v>
      </x:c>
      <x:c r="I163" t="str">
        <x:f>IF(F163&gt;0,"COSTO",IF(G163&gt;0,"CONSIGNACION","SIN COSTO"))</x:f>
        <x:v>SIN COSTO</x:v>
      </x:c>
    </x:row>
    <x:row r="164">
      <x:c r="E164" s="24"/>
      <x:c r="F164" s="24"/>
      <x:c r="G164" s="24"/>
      <x:c r="H164" s="24" t="n">
        <x:f>IF(F164&gt;0,F164,IF(G164&gt;0,G164,0))</x:f>
        <x:v>0</x:v>
      </x:c>
      <x:c r="I164" t="str">
        <x:f>IF(F164&gt;0,"COSTO",IF(G164&gt;0,"CONSIGNACION","SIN COSTO"))</x:f>
        <x:v>SIN COSTO</x:v>
      </x:c>
    </x:row>
    <x:row r="165">
      <x:c r="E165" s="24"/>
      <x:c r="F165" s="24"/>
      <x:c r="G165" s="24"/>
      <x:c r="H165" s="24" t="n">
        <x:f>IF(F165&gt;0,F165,IF(G165&gt;0,G165,0))</x:f>
        <x:v>0</x:v>
      </x:c>
      <x:c r="I165" t="str">
        <x:f>IF(F165&gt;0,"COSTO",IF(G165&gt;0,"CONSIGNACION","SIN COSTO"))</x:f>
        <x:v>SIN COSTO</x:v>
      </x:c>
    </x:row>
    <x:row r="166">
      <x:c r="E166" s="24"/>
      <x:c r="F166" s="24"/>
      <x:c r="G166" s="24"/>
      <x:c r="H166" s="24" t="n">
        <x:f>IF(F166&gt;0,F166,IF(G166&gt;0,G166,0))</x:f>
        <x:v>0</x:v>
      </x:c>
      <x:c r="I166" t="str">
        <x:f>IF(F166&gt;0,"COSTO",IF(G166&gt;0,"CONSIGNACION","SIN COSTO"))</x:f>
        <x:v>SIN COSTO</x:v>
      </x:c>
    </x:row>
    <x:row r="167">
      <x:c r="E167" s="24"/>
      <x:c r="F167" s="24"/>
      <x:c r="G167" s="24"/>
      <x:c r="H167" s="24" t="n">
        <x:f>IF(F167&gt;0,F167,IF(G167&gt;0,G167,0))</x:f>
        <x:v>0</x:v>
      </x:c>
      <x:c r="I167" t="str">
        <x:f>IF(F167&gt;0,"COSTO",IF(G167&gt;0,"CONSIGNACION","SIN COSTO"))</x:f>
        <x:v>SIN COSTO</x:v>
      </x:c>
    </x:row>
    <x:row r="168">
      <x:c r="E168" s="24"/>
      <x:c r="F168" s="24"/>
      <x:c r="G168" s="24"/>
      <x:c r="H168" s="24" t="n">
        <x:f>IF(F168&gt;0,F168,IF(G168&gt;0,G168,0))</x:f>
        <x:v>0</x:v>
      </x:c>
      <x:c r="I168" t="str">
        <x:f>IF(F168&gt;0,"COSTO",IF(G168&gt;0,"CONSIGNACION","SIN COSTO"))</x:f>
        <x:v>SIN COSTO</x:v>
      </x:c>
    </x:row>
    <x:row r="169">
      <x:c r="E169" s="24"/>
      <x:c r="F169" s="24"/>
      <x:c r="G169" s="24"/>
      <x:c r="H169" s="24" t="n">
        <x:f>IF(F169&gt;0,F169,IF(G169&gt;0,G169,0))</x:f>
        <x:v>0</x:v>
      </x:c>
      <x:c r="I169" t="str">
        <x:f>IF(F169&gt;0,"COSTO",IF(G169&gt;0,"CONSIGNACION","SIN COSTO"))</x:f>
        <x:v>SIN COSTO</x:v>
      </x:c>
    </x:row>
    <x:row r="170">
      <x:c r="E170" s="24"/>
      <x:c r="F170" s="24"/>
      <x:c r="G170" s="24"/>
      <x:c r="H170" s="24" t="n">
        <x:f>IF(F170&gt;0,F170,IF(G170&gt;0,G170,0))</x:f>
        <x:v>0</x:v>
      </x:c>
      <x:c r="I170" t="str">
        <x:f>IF(F170&gt;0,"COSTO",IF(G170&gt;0,"CONSIGNACION","SIN COSTO"))</x:f>
        <x:v>SIN COSTO</x:v>
      </x:c>
    </x:row>
    <x:row r="171">
      <x:c r="E171" s="24"/>
      <x:c r="F171" s="24"/>
      <x:c r="G171" s="24"/>
      <x:c r="H171" s="24" t="n">
        <x:f>IF(F171&gt;0,F171,IF(G171&gt;0,G171,0))</x:f>
        <x:v>0</x:v>
      </x:c>
      <x:c r="I171" t="str">
        <x:f>IF(F171&gt;0,"COSTO",IF(G171&gt;0,"CONSIGNACION","SIN COSTO"))</x:f>
        <x:v>SIN COSTO</x:v>
      </x:c>
    </x:row>
    <x:row r="172">
      <x:c r="E172" s="24"/>
      <x:c r="F172" s="24"/>
      <x:c r="G172" s="24"/>
      <x:c r="H172" s="24" t="n">
        <x:f>IF(F172&gt;0,F172,IF(G172&gt;0,G172,0))</x:f>
        <x:v>0</x:v>
      </x:c>
      <x:c r="I172" t="str">
        <x:f>IF(F172&gt;0,"COSTO",IF(G172&gt;0,"CONSIGNACION","SIN COSTO"))</x:f>
        <x:v>SIN COSTO</x:v>
      </x:c>
    </x:row>
    <x:row r="173">
      <x:c r="E173" s="24"/>
      <x:c r="F173" s="24"/>
      <x:c r="G173" s="24"/>
      <x:c r="H173" s="24" t="n">
        <x:f>IF(F173&gt;0,F173,IF(G173&gt;0,G173,0))</x:f>
        <x:v>0</x:v>
      </x:c>
      <x:c r="I173" t="str">
        <x:f>IF(F173&gt;0,"COSTO",IF(G173&gt;0,"CONSIGNACION","SIN COSTO"))</x:f>
        <x:v>SIN COSTO</x:v>
      </x:c>
    </x:row>
    <x:row r="174">
      <x:c r="E174" s="24"/>
      <x:c r="F174" s="24"/>
      <x:c r="G174" s="24"/>
      <x:c r="H174" s="24" t="n">
        <x:f>IF(F174&gt;0,F174,IF(G174&gt;0,G174,0))</x:f>
        <x:v>0</x:v>
      </x:c>
      <x:c r="I174" t="str">
        <x:f>IF(F174&gt;0,"COSTO",IF(G174&gt;0,"CONSIGNACION","SIN COSTO"))</x:f>
        <x:v>SIN COSTO</x:v>
      </x:c>
    </x:row>
    <x:row r="175">
      <x:c r="E175" s="24"/>
      <x:c r="F175" s="24"/>
      <x:c r="G175" s="24"/>
      <x:c r="H175" s="24" t="n">
        <x:f>IF(F175&gt;0,F175,IF(G175&gt;0,G175,0))</x:f>
        <x:v>0</x:v>
      </x:c>
      <x:c r="I175" t="str">
        <x:f>IF(F175&gt;0,"COSTO",IF(G175&gt;0,"CONSIGNACION","SIN COSTO"))</x:f>
        <x:v>SIN COSTO</x:v>
      </x:c>
    </x:row>
    <x:row r="176">
      <x:c r="E176" s="24"/>
      <x:c r="F176" s="24"/>
      <x:c r="G176" s="24"/>
      <x:c r="H176" s="24" t="n">
        <x:f>IF(F176&gt;0,F176,IF(G176&gt;0,G176,0))</x:f>
        <x:v>0</x:v>
      </x:c>
      <x:c r="I176" t="str">
        <x:f>IF(F176&gt;0,"COSTO",IF(G176&gt;0,"CONSIGNACION","SIN COSTO"))</x:f>
        <x:v>SIN COSTO</x:v>
      </x:c>
    </x:row>
    <x:row r="177">
      <x:c r="E177" s="24"/>
      <x:c r="F177" s="24"/>
      <x:c r="G177" s="24"/>
      <x:c r="H177" s="24" t="n">
        <x:f>IF(F177&gt;0,F177,IF(G177&gt;0,G177,0))</x:f>
        <x:v>0</x:v>
      </x:c>
      <x:c r="I177" t="str">
        <x:f>IF(F177&gt;0,"COSTO",IF(G177&gt;0,"CONSIGNACION","SIN COSTO"))</x:f>
        <x:v>SIN COSTO</x:v>
      </x:c>
    </x:row>
    <x:row r="178">
      <x:c r="E178" s="24"/>
      <x:c r="F178" s="24"/>
      <x:c r="G178" s="24"/>
      <x:c r="H178" s="24" t="n">
        <x:f>IF(F178&gt;0,F178,IF(G178&gt;0,G178,0))</x:f>
        <x:v>0</x:v>
      </x:c>
      <x:c r="I178" t="str">
        <x:f>IF(F178&gt;0,"COSTO",IF(G178&gt;0,"CONSIGNACION","SIN COSTO"))</x:f>
        <x:v>SIN COSTO</x:v>
      </x:c>
    </x:row>
    <x:row r="179">
      <x:c r="E179" s="24"/>
      <x:c r="F179" s="24"/>
      <x:c r="G179" s="24"/>
      <x:c r="H179" s="24" t="n">
        <x:f>IF(F179&gt;0,F179,IF(G179&gt;0,G179,0))</x:f>
        <x:v>0</x:v>
      </x:c>
      <x:c r="I179" t="str">
        <x:f>IF(F179&gt;0,"COSTO",IF(G179&gt;0,"CONSIGNACION","SIN COSTO"))</x:f>
        <x:v>SIN COSTO</x:v>
      </x:c>
    </x:row>
    <x:row r="180">
      <x:c r="E180" s="24"/>
      <x:c r="F180" s="24"/>
      <x:c r="G180" s="24"/>
      <x:c r="H180" s="24" t="n">
        <x:f>IF(F180&gt;0,F180,IF(G180&gt;0,G180,0))</x:f>
        <x:v>0</x:v>
      </x:c>
      <x:c r="I180" t="str">
        <x:f>IF(F180&gt;0,"COSTO",IF(G180&gt;0,"CONSIGNACION","SIN COSTO"))</x:f>
        <x:v>SIN COSTO</x:v>
      </x:c>
    </x:row>
    <x:row r="181">
      <x:c r="E181" s="24"/>
      <x:c r="F181" s="24"/>
      <x:c r="G181" s="24"/>
      <x:c r="H181" s="24" t="n">
        <x:f>IF(F181&gt;0,F181,IF(G181&gt;0,G181,0))</x:f>
        <x:v>0</x:v>
      </x:c>
      <x:c r="I181" t="str">
        <x:f>IF(F181&gt;0,"COSTO",IF(G181&gt;0,"CONSIGNACION","SIN COSTO"))</x:f>
        <x:v>SIN COSTO</x:v>
      </x:c>
    </x:row>
    <x:row r="182">
      <x:c r="E182" s="24"/>
      <x:c r="F182" s="24"/>
      <x:c r="G182" s="24"/>
      <x:c r="H182" s="24" t="n">
        <x:f>IF(F182&gt;0,F182,IF(G182&gt;0,G182,0))</x:f>
        <x:v>0</x:v>
      </x:c>
      <x:c r="I182" t="str">
        <x:f>IF(F182&gt;0,"COSTO",IF(G182&gt;0,"CONSIGNACION","SIN COSTO"))</x:f>
        <x:v>SIN COSTO</x:v>
      </x:c>
    </x:row>
    <x:row r="183">
      <x:c r="E183" s="24"/>
      <x:c r="F183" s="24"/>
      <x:c r="G183" s="24"/>
      <x:c r="H183" s="24" t="n">
        <x:f>IF(F183&gt;0,F183,IF(G183&gt;0,G183,0))</x:f>
        <x:v>0</x:v>
      </x:c>
      <x:c r="I183" t="str">
        <x:f>IF(F183&gt;0,"COSTO",IF(G183&gt;0,"CONSIGNACION","SIN COSTO"))</x:f>
        <x:v>SIN COSTO</x:v>
      </x:c>
    </x:row>
    <x:row r="184">
      <x:c r="E184" s="24"/>
      <x:c r="F184" s="24"/>
      <x:c r="G184" s="24"/>
      <x:c r="H184" s="24" t="n">
        <x:f>IF(F184&gt;0,F184,IF(G184&gt;0,G184,0))</x:f>
        <x:v>0</x:v>
      </x:c>
      <x:c r="I184" t="str">
        <x:f>IF(F184&gt;0,"COSTO",IF(G184&gt;0,"CONSIGNACION","SIN COSTO"))</x:f>
        <x:v>SIN COSTO</x:v>
      </x:c>
    </x:row>
    <x:row r="185">
      <x:c r="E185" s="24"/>
      <x:c r="F185" s="24"/>
      <x:c r="G185" s="24"/>
      <x:c r="H185" s="24" t="n">
        <x:f>IF(F185&gt;0,F185,IF(G185&gt;0,G185,0))</x:f>
        <x:v>0</x:v>
      </x:c>
      <x:c r="I185" t="str">
        <x:f>IF(F185&gt;0,"COSTO",IF(G185&gt;0,"CONSIGNACION","SIN COSTO"))</x:f>
        <x:v>SIN COSTO</x:v>
      </x:c>
    </x:row>
    <x:row r="186">
      <x:c r="E186" s="24"/>
      <x:c r="F186" s="24"/>
      <x:c r="G186" s="24"/>
      <x:c r="H186" s="24" t="n">
        <x:f>IF(F186&gt;0,F186,IF(G186&gt;0,G186,0))</x:f>
        <x:v>0</x:v>
      </x:c>
      <x:c r="I186" t="str">
        <x:f>IF(F186&gt;0,"COSTO",IF(G186&gt;0,"CONSIGNACION","SIN COSTO"))</x:f>
        <x:v>SIN COSTO</x:v>
      </x:c>
    </x:row>
    <x:row r="187">
      <x:c r="E187" s="24"/>
      <x:c r="F187" s="24"/>
      <x:c r="G187" s="24"/>
      <x:c r="H187" s="24" t="n">
        <x:f>IF(F187&gt;0,F187,IF(G187&gt;0,G187,0))</x:f>
        <x:v>0</x:v>
      </x:c>
      <x:c r="I187" t="str">
        <x:f>IF(F187&gt;0,"COSTO",IF(G187&gt;0,"CONSIGNACION","SIN COSTO"))</x:f>
        <x:v>SIN COSTO</x:v>
      </x:c>
    </x:row>
    <x:row r="188">
      <x:c r="E188" s="24"/>
      <x:c r="F188" s="24"/>
      <x:c r="G188" s="24"/>
      <x:c r="H188" s="24" t="n">
        <x:f>IF(F188&gt;0,F188,IF(G188&gt;0,G188,0))</x:f>
        <x:v>0</x:v>
      </x:c>
      <x:c r="I188" t="str">
        <x:f>IF(F188&gt;0,"COSTO",IF(G188&gt;0,"CONSIGNACION","SIN COSTO"))</x:f>
        <x:v>SIN COSTO</x:v>
      </x:c>
    </x:row>
    <x:row r="189">
      <x:c r="E189" s="24"/>
      <x:c r="F189" s="24"/>
      <x:c r="G189" s="24"/>
      <x:c r="H189" s="24" t="n">
        <x:f>IF(F189&gt;0,F189,IF(G189&gt;0,G189,0))</x:f>
        <x:v>0</x:v>
      </x:c>
      <x:c r="I189" t="str">
        <x:f>IF(F189&gt;0,"COSTO",IF(G189&gt;0,"CONSIGNACION","SIN COSTO"))</x:f>
        <x:v>SIN COSTO</x:v>
      </x:c>
    </x:row>
    <x:row r="190">
      <x:c r="E190" s="24"/>
      <x:c r="F190" s="24"/>
      <x:c r="G190" s="24"/>
      <x:c r="H190" s="24" t="n">
        <x:f>IF(F190&gt;0,F190,IF(G190&gt;0,G190,0))</x:f>
        <x:v>0</x:v>
      </x:c>
      <x:c r="I190" t="str">
        <x:f>IF(F190&gt;0,"COSTO",IF(G190&gt;0,"CONSIGNACION","SIN COSTO"))</x:f>
        <x:v>SIN COSTO</x:v>
      </x:c>
    </x:row>
    <x:row r="191">
      <x:c r="E191" s="24"/>
      <x:c r="F191" s="24"/>
      <x:c r="G191" s="24"/>
      <x:c r="H191" s="24" t="n">
        <x:f>IF(F191&gt;0,F191,IF(G191&gt;0,G191,0))</x:f>
        <x:v>0</x:v>
      </x:c>
      <x:c r="I191" t="str">
        <x:f>IF(F191&gt;0,"COSTO",IF(G191&gt;0,"CONSIGNACION","SIN COSTO"))</x:f>
        <x:v>SIN COSTO</x:v>
      </x:c>
    </x:row>
    <x:row r="192">
      <x:c r="E192" s="24"/>
      <x:c r="F192" s="24"/>
      <x:c r="G192" s="24"/>
      <x:c r="H192" s="24" t="n">
        <x:f>IF(F192&gt;0,F192,IF(G192&gt;0,G192,0))</x:f>
        <x:v>0</x:v>
      </x:c>
      <x:c r="I192" t="str">
        <x:f>IF(F192&gt;0,"COSTO",IF(G192&gt;0,"CONSIGNACION","SIN COSTO"))</x:f>
        <x:v>SIN COSTO</x:v>
      </x:c>
    </x:row>
    <x:row r="193">
      <x:c r="E193" s="24"/>
      <x:c r="F193" s="24"/>
      <x:c r="G193" s="24"/>
      <x:c r="H193" s="24" t="n">
        <x:f>IF(F193&gt;0,F193,IF(G193&gt;0,G193,0))</x:f>
        <x:v>0</x:v>
      </x:c>
      <x:c r="I193" t="str">
        <x:f>IF(F193&gt;0,"COSTO",IF(G193&gt;0,"CONSIGNACION","SIN COSTO"))</x:f>
        <x:v>SIN COSTO</x:v>
      </x:c>
    </x:row>
    <x:row r="194">
      <x:c r="E194" s="24"/>
      <x:c r="F194" s="24"/>
      <x:c r="G194" s="24"/>
      <x:c r="H194" s="24" t="n">
        <x:f>IF(F194&gt;0,F194,IF(G194&gt;0,G194,0))</x:f>
        <x:v>0</x:v>
      </x:c>
      <x:c r="I194" t="str">
        <x:f>IF(F194&gt;0,"COSTO",IF(G194&gt;0,"CONSIGNACION","SIN COSTO"))</x:f>
        <x:v>SIN COSTO</x:v>
      </x:c>
    </x:row>
    <x:row r="195">
      <x:c r="E195" s="24"/>
      <x:c r="F195" s="24"/>
      <x:c r="G195" s="24"/>
      <x:c r="H195" s="24" t="n">
        <x:f>IF(F195&gt;0,F195,IF(G195&gt;0,G195,0))</x:f>
        <x:v>0</x:v>
      </x:c>
      <x:c r="I195" t="str">
        <x:f>IF(F195&gt;0,"COSTO",IF(G195&gt;0,"CONSIGNACION","SIN COSTO"))</x:f>
        <x:v>SIN COSTO</x:v>
      </x:c>
    </x:row>
    <x:row r="196">
      <x:c r="E196" s="24"/>
      <x:c r="F196" s="24"/>
      <x:c r="G196" s="24"/>
      <x:c r="H196" s="24" t="n">
        <x:f>IF(F196&gt;0,F196,IF(G196&gt;0,G196,0))</x:f>
        <x:v>0</x:v>
      </x:c>
      <x:c r="I196" t="str">
        <x:f>IF(F196&gt;0,"COSTO",IF(G196&gt;0,"CONSIGNACION","SIN COSTO"))</x:f>
        <x:v>SIN COSTO</x:v>
      </x:c>
    </x:row>
    <x:row r="197">
      <x:c r="E197" s="24"/>
      <x:c r="F197" s="24"/>
      <x:c r="G197" s="24"/>
      <x:c r="H197" s="24" t="n">
        <x:f>IF(F197&gt;0,F197,IF(G197&gt;0,G197,0))</x:f>
        <x:v>0</x:v>
      </x:c>
      <x:c r="I197" t="str">
        <x:f>IF(F197&gt;0,"COSTO",IF(G197&gt;0,"CONSIGNACION","SIN COSTO"))</x:f>
        <x:v>SIN COSTO</x:v>
      </x:c>
    </x:row>
    <x:row r="198">
      <x:c r="E198" s="24"/>
      <x:c r="F198" s="24"/>
      <x:c r="G198" s="24"/>
      <x:c r="H198" s="24" t="n">
        <x:f>IF(F198&gt;0,F198,IF(G198&gt;0,G198,0))</x:f>
        <x:v>0</x:v>
      </x:c>
      <x:c r="I198" t="str">
        <x:f>IF(F198&gt;0,"COSTO",IF(G198&gt;0,"CONSIGNACION","SIN COSTO"))</x:f>
        <x:v>SIN COSTO</x:v>
      </x:c>
    </x:row>
    <x:row r="199">
      <x:c r="E199" s="24"/>
      <x:c r="F199" s="24"/>
      <x:c r="G199" s="24"/>
      <x:c r="H199" s="24" t="n">
        <x:f>IF(F199&gt;0,F199,IF(G199&gt;0,G199,0))</x:f>
        <x:v>0</x:v>
      </x:c>
      <x:c r="I199" t="str">
        <x:f>IF(F199&gt;0,"COSTO",IF(G199&gt;0,"CONSIGNACION","SIN COSTO"))</x:f>
        <x:v>SIN COSTO</x:v>
      </x:c>
    </x:row>
    <x:row r="200">
      <x:c r="E200" s="24"/>
      <x:c r="F200" s="24"/>
      <x:c r="G200" s="24"/>
      <x:c r="H200" s="24" t="n">
        <x:f>IF(F200&gt;0,F200,IF(G200&gt;0,G200,0))</x:f>
        <x:v>0</x:v>
      </x:c>
      <x:c r="I200" t="str">
        <x:f>IF(F200&gt;0,"COSTO",IF(G200&gt;0,"CONSIGNACION","SIN COSTO"))</x:f>
        <x:v>SIN COSTO</x:v>
      </x:c>
    </x:row>
  </x:sheetData>
  <x:conditionalFormatting sqref="I2:I200">
    <x:cfRule type="expression" dxfId="0" priority="1">
      <x:formula>I2="SIN COSTO"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18" hidden="0" customWidth="1"/>
    <x:col min="14" max="14" width="20" hidden="0" customWidth="1"/>
  </x:cols>
  <x:sheetData>
    <x:row r="1">
      <x:c r="A1" s="12" t="str">
        <x:v>ID_Inventario</x:v>
      </x:c>
      <x:c r="B1" s="12" t="str">
        <x:v>Nombre</x:v>
      </x:c>
      <x:c r="C1" s="12" t="str">
        <x:v>Sede</x:v>
      </x:c>
      <x:c r="D1" s="12" t="str">
        <x:v>Referencias</x:v>
      </x:c>
      <x:c r="E1" s="12" t="str">
        <x:v>Responsable_Principal</x:v>
      </x:c>
      <x:c r="F1" s="12" t="str">
        <x:v>Fecha_Inicio</x:v>
      </x:c>
      <x:c r="G1" s="12" t="str">
        <x:v>Fecha_Limite</x:v>
      </x:c>
      <x:c r="H1" s="12" t="str">
        <x:v>Estado</x:v>
      </x:c>
      <x:c r="I1" s="12" t="str">
        <x:v>Modo_Conteo</x:v>
      </x:c>
      <x:c r="J1" s="12" t="str">
        <x:v>Cerrado_Por_Plazo</x:v>
      </x:c>
      <x:c r="K1" s="12" t="str">
        <x:v>Reabierto_Por</x:v>
      </x:c>
      <x:c r="L1" s="12" t="str">
        <x:v>Motivo_Reapertura</x:v>
      </x:c>
      <x:c r="M1" s="12" t="str">
        <x:v>Creado_Por</x:v>
      </x:c>
      <x:c r="N1" s="12" t="str">
        <x:v>Fecha_Creacion</x:v>
      </x:c>
    </x:row>
    <x:row r="2">
      <x:c r="A2" t="str">
        <x:v>INV-2026-0001</x:v>
      </x:c>
      <x:c r="B2" t="str">
        <x:v>Piloto septiembre</x:v>
      </x:c>
      <x:c r="C2" t="str">
        <x:v>Principal</x:v>
      </x:c>
      <x:c r="D2" t="str">
        <x:v>THE6;KIA6</x:v>
      </x:c>
      <x:c r="E2" t="str">
        <x:v>usuario01</x:v>
      </x:c>
      <x:c r="F2" s="26" t="n">
        <x:v>46286.333333333336</x:v>
      </x:c>
      <x:c r="G2" s="26" t="n">
        <x:v>46288.75</x:v>
      </x:c>
      <x:c r="H2" t="str">
        <x:v>EN_PROCESO</x:v>
      </x:c>
      <x:c r="I2" t="str">
        <x:v>CIEGO_HIBRIDO</x:v>
      </x:c>
      <x:c r="J2" s="28" t="b">
        <x:v>0</x:v>
      </x:c>
      <x:c r="K2" t="str"/>
      <x:c r="L2" t="str"/>
      <x:c r="M2" t="str">
        <x:v>admin</x:v>
      </x:c>
      <x:c r="N2" s="26" t="n">
        <x:v>46286.322916666664</x:v>
      </x:c>
    </x:row>
    <x:row r="3">
      <x:c r="F3" s="26"/>
      <x:c r="G3" s="26"/>
      <x:c r="N3" s="26"/>
    </x:row>
    <x:row r="4">
      <x:c r="F4" s="26"/>
      <x:c r="G4" s="26"/>
      <x:c r="N4" s="26"/>
    </x:row>
    <x:row r="5">
      <x:c r="F5" s="26"/>
      <x:c r="G5" s="26"/>
      <x:c r="N5" s="26"/>
    </x:row>
    <x:row r="6">
      <x:c r="F6" s="26"/>
      <x:c r="G6" s="26"/>
      <x:c r="N6" s="26"/>
    </x:row>
    <x:row r="7">
      <x:c r="F7" s="26"/>
      <x:c r="G7" s="26"/>
      <x:c r="N7" s="26"/>
    </x:row>
    <x:row r="8">
      <x:c r="F8" s="26"/>
      <x:c r="G8" s="26"/>
      <x:c r="N8" s="26"/>
    </x:row>
    <x:row r="9">
      <x:c r="F9" s="26"/>
      <x:c r="G9" s="26"/>
      <x:c r="N9" s="26"/>
    </x:row>
    <x:row r="10">
      <x:c r="F10" s="26"/>
      <x:c r="G10" s="26"/>
      <x:c r="N10" s="26"/>
    </x:row>
    <x:row r="11">
      <x:c r="F11" s="26"/>
      <x:c r="G11" s="26"/>
      <x:c r="N11" s="26"/>
    </x:row>
    <x:row r="12">
      <x:c r="F12" s="26"/>
      <x:c r="G12" s="26"/>
      <x:c r="N12" s="26"/>
    </x:row>
    <x:row r="13">
      <x:c r="F13" s="26"/>
      <x:c r="G13" s="26"/>
      <x:c r="N13" s="26"/>
    </x:row>
    <x:row r="14">
      <x:c r="F14" s="26"/>
      <x:c r="G14" s="26"/>
      <x:c r="N14" s="26"/>
    </x:row>
    <x:row r="15">
      <x:c r="F15" s="26"/>
      <x:c r="G15" s="26"/>
      <x:c r="N15" s="26"/>
    </x:row>
    <x:row r="16">
      <x:c r="F16" s="26"/>
      <x:c r="G16" s="26"/>
      <x:c r="N16" s="26"/>
    </x:row>
    <x:row r="17">
      <x:c r="F17" s="26"/>
      <x:c r="G17" s="26"/>
      <x:c r="N17" s="26"/>
    </x:row>
    <x:row r="18">
      <x:c r="F18" s="26"/>
      <x:c r="G18" s="26"/>
      <x:c r="N18" s="26"/>
    </x:row>
    <x:row r="19">
      <x:c r="F19" s="26"/>
      <x:c r="G19" s="26"/>
      <x:c r="N19" s="26"/>
    </x:row>
    <x:row r="20">
      <x:c r="F20" s="26"/>
      <x:c r="G20" s="26"/>
      <x:c r="N20" s="26"/>
    </x:row>
    <x:row r="21">
      <x:c r="F21" s="26"/>
      <x:c r="G21" s="26"/>
      <x:c r="N21" s="26"/>
    </x:row>
    <x:row r="22">
      <x:c r="F22" s="26"/>
      <x:c r="G22" s="26"/>
      <x:c r="N22" s="26"/>
    </x:row>
    <x:row r="23">
      <x:c r="F23" s="26"/>
      <x:c r="G23" s="26"/>
      <x:c r="N23" s="26"/>
    </x:row>
    <x:row r="24">
      <x:c r="F24" s="26"/>
      <x:c r="G24" s="26"/>
      <x:c r="N24" s="26"/>
    </x:row>
    <x:row r="25">
      <x:c r="F25" s="26"/>
      <x:c r="G25" s="26"/>
      <x:c r="N25" s="26"/>
    </x:row>
    <x:row r="26">
      <x:c r="F26" s="26"/>
      <x:c r="G26" s="26"/>
      <x:c r="N26" s="26"/>
    </x:row>
    <x:row r="27">
      <x:c r="F27" s="26"/>
      <x:c r="G27" s="26"/>
      <x:c r="N27" s="26"/>
    </x:row>
    <x:row r="28">
      <x:c r="F28" s="26"/>
      <x:c r="G28" s="26"/>
      <x:c r="N28" s="26"/>
    </x:row>
    <x:row r="29">
      <x:c r="F29" s="26"/>
      <x:c r="G29" s="26"/>
      <x:c r="N29" s="26"/>
    </x:row>
    <x:row r="30">
      <x:c r="F30" s="26"/>
      <x:c r="G30" s="26"/>
      <x:c r="N30" s="26"/>
    </x:row>
    <x:row r="31">
      <x:c r="F31" s="26"/>
      <x:c r="G31" s="26"/>
      <x:c r="N31" s="26"/>
    </x:row>
    <x:row r="32">
      <x:c r="F32" s="26"/>
      <x:c r="G32" s="26"/>
      <x:c r="N32" s="26"/>
    </x:row>
    <x:row r="33">
      <x:c r="F33" s="26"/>
      <x:c r="G33" s="26"/>
      <x:c r="N33" s="26"/>
    </x:row>
    <x:row r="34">
      <x:c r="F34" s="26"/>
      <x:c r="G34" s="26"/>
      <x:c r="N34" s="26"/>
    </x:row>
    <x:row r="35">
      <x:c r="F35" s="26"/>
      <x:c r="G35" s="26"/>
      <x:c r="N35" s="26"/>
    </x:row>
    <x:row r="36">
      <x:c r="F36" s="26"/>
      <x:c r="G36" s="26"/>
      <x:c r="N36" s="26"/>
    </x:row>
    <x:row r="37">
      <x:c r="F37" s="26"/>
      <x:c r="G37" s="26"/>
      <x:c r="N37" s="26"/>
    </x:row>
    <x:row r="38">
      <x:c r="F38" s="26"/>
      <x:c r="G38" s="26"/>
      <x:c r="N38" s="26"/>
    </x:row>
    <x:row r="39">
      <x:c r="F39" s="26"/>
      <x:c r="G39" s="26"/>
      <x:c r="N39" s="26"/>
    </x:row>
    <x:row r="40">
      <x:c r="F40" s="26"/>
      <x:c r="G40" s="26"/>
      <x:c r="N40" s="26"/>
    </x:row>
    <x:row r="41">
      <x:c r="F41" s="26"/>
      <x:c r="G41" s="26"/>
      <x:c r="N41" s="26"/>
    </x:row>
    <x:row r="42">
      <x:c r="F42" s="26"/>
      <x:c r="G42" s="26"/>
      <x:c r="N42" s="26"/>
    </x:row>
    <x:row r="43">
      <x:c r="F43" s="26"/>
      <x:c r="G43" s="26"/>
      <x:c r="N43" s="26"/>
    </x:row>
    <x:row r="44">
      <x:c r="F44" s="26"/>
      <x:c r="G44" s="26"/>
      <x:c r="N44" s="26"/>
    </x:row>
    <x:row r="45">
      <x:c r="F45" s="26"/>
      <x:c r="G45" s="26"/>
      <x:c r="N45" s="26"/>
    </x:row>
    <x:row r="46">
      <x:c r="F46" s="26"/>
      <x:c r="G46" s="26"/>
      <x:c r="N46" s="26"/>
    </x:row>
    <x:row r="47">
      <x:c r="F47" s="26"/>
      <x:c r="G47" s="26"/>
      <x:c r="N47" s="26"/>
    </x:row>
    <x:row r="48">
      <x:c r="F48" s="26"/>
      <x:c r="G48" s="26"/>
      <x:c r="N48" s="26"/>
    </x:row>
    <x:row r="49">
      <x:c r="F49" s="26"/>
      <x:c r="G49" s="26"/>
      <x:c r="N49" s="26"/>
    </x:row>
    <x:row r="50">
      <x:c r="F50" s="26"/>
      <x:c r="G50" s="26"/>
      <x:c r="N50" s="26"/>
    </x:row>
    <x:row r="51">
      <x:c r="F51" s="26"/>
      <x:c r="G51" s="26"/>
      <x:c r="N51" s="26"/>
    </x:row>
    <x:row r="52">
      <x:c r="F52" s="26"/>
      <x:c r="G52" s="26"/>
      <x:c r="N52" s="26"/>
    </x:row>
    <x:row r="53">
      <x:c r="F53" s="26"/>
      <x:c r="G53" s="26"/>
      <x:c r="N53" s="26"/>
    </x:row>
    <x:row r="54">
      <x:c r="F54" s="26"/>
      <x:c r="G54" s="26"/>
      <x:c r="N54" s="26"/>
    </x:row>
    <x:row r="55">
      <x:c r="F55" s="26"/>
      <x:c r="G55" s="26"/>
      <x:c r="N55" s="26"/>
    </x:row>
    <x:row r="56">
      <x:c r="F56" s="26"/>
      <x:c r="G56" s="26"/>
      <x:c r="N56" s="26"/>
    </x:row>
    <x:row r="57">
      <x:c r="F57" s="26"/>
      <x:c r="G57" s="26"/>
      <x:c r="N57" s="26"/>
    </x:row>
    <x:row r="58">
      <x:c r="F58" s="26"/>
      <x:c r="G58" s="26"/>
      <x:c r="N58" s="26"/>
    </x:row>
    <x:row r="59">
      <x:c r="F59" s="26"/>
      <x:c r="G59" s="26"/>
      <x:c r="N59" s="26"/>
    </x:row>
    <x:row r="60">
      <x:c r="F60" s="26"/>
      <x:c r="G60" s="26"/>
      <x:c r="N60" s="26"/>
    </x:row>
    <x:row r="61">
      <x:c r="F61" s="26"/>
      <x:c r="G61" s="26"/>
      <x:c r="N61" s="26"/>
    </x:row>
    <x:row r="62">
      <x:c r="F62" s="26"/>
      <x:c r="G62" s="26"/>
      <x:c r="N62" s="26"/>
    </x:row>
    <x:row r="63">
      <x:c r="F63" s="26"/>
      <x:c r="G63" s="26"/>
      <x:c r="N63" s="26"/>
    </x:row>
    <x:row r="64">
      <x:c r="F64" s="26"/>
      <x:c r="G64" s="26"/>
      <x:c r="N64" s="26"/>
    </x:row>
    <x:row r="65">
      <x:c r="F65" s="26"/>
      <x:c r="G65" s="26"/>
      <x:c r="N65" s="26"/>
    </x:row>
    <x:row r="66">
      <x:c r="F66" s="26"/>
      <x:c r="G66" s="26"/>
      <x:c r="N66" s="26"/>
    </x:row>
    <x:row r="67">
      <x:c r="F67" s="26"/>
      <x:c r="G67" s="26"/>
      <x:c r="N67" s="26"/>
    </x:row>
    <x:row r="68">
      <x:c r="F68" s="26"/>
      <x:c r="G68" s="26"/>
      <x:c r="N68" s="26"/>
    </x:row>
    <x:row r="69">
      <x:c r="F69" s="26"/>
      <x:c r="G69" s="26"/>
      <x:c r="N69" s="26"/>
    </x:row>
    <x:row r="70">
      <x:c r="F70" s="26"/>
      <x:c r="G70" s="26"/>
      <x:c r="N70" s="26"/>
    </x:row>
    <x:row r="71">
      <x:c r="F71" s="26"/>
      <x:c r="G71" s="26"/>
      <x:c r="N71" s="26"/>
    </x:row>
    <x:row r="72">
      <x:c r="F72" s="26"/>
      <x:c r="G72" s="26"/>
      <x:c r="N72" s="26"/>
    </x:row>
    <x:row r="73">
      <x:c r="F73" s="26"/>
      <x:c r="G73" s="26"/>
      <x:c r="N73" s="26"/>
    </x:row>
    <x:row r="74">
      <x:c r="F74" s="26"/>
      <x:c r="G74" s="26"/>
      <x:c r="N74" s="26"/>
    </x:row>
    <x:row r="75">
      <x:c r="F75" s="26"/>
      <x:c r="G75" s="26"/>
      <x:c r="N75" s="26"/>
    </x:row>
    <x:row r="76">
      <x:c r="F76" s="26"/>
      <x:c r="G76" s="26"/>
      <x:c r="N76" s="26"/>
    </x:row>
    <x:row r="77">
      <x:c r="F77" s="26"/>
      <x:c r="G77" s="26"/>
      <x:c r="N77" s="26"/>
    </x:row>
    <x:row r="78">
      <x:c r="F78" s="26"/>
      <x:c r="G78" s="26"/>
      <x:c r="N78" s="26"/>
    </x:row>
    <x:row r="79">
      <x:c r="F79" s="26"/>
      <x:c r="G79" s="26"/>
      <x:c r="N79" s="26"/>
    </x:row>
    <x:row r="80">
      <x:c r="F80" s="26"/>
      <x:c r="G80" s="26"/>
      <x:c r="N80" s="26"/>
    </x:row>
    <x:row r="81">
      <x:c r="F81" s="26"/>
      <x:c r="G81" s="26"/>
      <x:c r="N81" s="26"/>
    </x:row>
    <x:row r="82">
      <x:c r="F82" s="26"/>
      <x:c r="G82" s="26"/>
      <x:c r="N82" s="26"/>
    </x:row>
    <x:row r="83">
      <x:c r="F83" s="26"/>
      <x:c r="G83" s="26"/>
      <x:c r="N83" s="26"/>
    </x:row>
    <x:row r="84">
      <x:c r="F84" s="26"/>
      <x:c r="G84" s="26"/>
      <x:c r="N84" s="26"/>
    </x:row>
    <x:row r="85">
      <x:c r="F85" s="26"/>
      <x:c r="G85" s="26"/>
      <x:c r="N85" s="26"/>
    </x:row>
    <x:row r="86">
      <x:c r="F86" s="26"/>
      <x:c r="G86" s="26"/>
      <x:c r="N86" s="26"/>
    </x:row>
    <x:row r="87">
      <x:c r="F87" s="26"/>
      <x:c r="G87" s="26"/>
      <x:c r="N87" s="26"/>
    </x:row>
    <x:row r="88">
      <x:c r="F88" s="26"/>
      <x:c r="G88" s="26"/>
      <x:c r="N88" s="26"/>
    </x:row>
    <x:row r="89">
      <x:c r="F89" s="26"/>
      <x:c r="G89" s="26"/>
      <x:c r="N89" s="26"/>
    </x:row>
    <x:row r="90">
      <x:c r="F90" s="26"/>
      <x:c r="G90" s="26"/>
      <x:c r="N90" s="26"/>
    </x:row>
    <x:row r="91">
      <x:c r="F91" s="26"/>
      <x:c r="G91" s="26"/>
      <x:c r="N91" s="26"/>
    </x:row>
    <x:row r="92">
      <x:c r="F92" s="26"/>
      <x:c r="G92" s="26"/>
      <x:c r="N92" s="26"/>
    </x:row>
    <x:row r="93">
      <x:c r="F93" s="26"/>
      <x:c r="G93" s="26"/>
      <x:c r="N93" s="26"/>
    </x:row>
    <x:row r="94">
      <x:c r="F94" s="26"/>
      <x:c r="G94" s="26"/>
      <x:c r="N94" s="26"/>
    </x:row>
    <x:row r="95">
      <x:c r="F95" s="26"/>
      <x:c r="G95" s="26"/>
      <x:c r="N95" s="26"/>
    </x:row>
    <x:row r="96">
      <x:c r="F96" s="26"/>
      <x:c r="G96" s="26"/>
      <x:c r="N96" s="26"/>
    </x:row>
    <x:row r="97">
      <x:c r="F97" s="26"/>
      <x:c r="G97" s="26"/>
      <x:c r="N97" s="26"/>
    </x:row>
    <x:row r="98">
      <x:c r="F98" s="26"/>
      <x:c r="G98" s="26"/>
      <x:c r="N98" s="26"/>
    </x:row>
    <x:row r="99">
      <x:c r="F99" s="26"/>
      <x:c r="G99" s="26"/>
      <x:c r="N99" s="26"/>
    </x:row>
    <x:row r="100">
      <x:c r="F100" s="26"/>
      <x:c r="G100" s="26"/>
      <x:c r="N100" s="26"/>
    </x:row>
    <x:row r="101">
      <x:c r="F101" s="26"/>
      <x:c r="G101" s="26"/>
      <x:c r="N101" s="26"/>
    </x:row>
    <x:row r="102">
      <x:c r="F102" s="26"/>
      <x:c r="G102" s="26"/>
      <x:c r="N102" s="26"/>
    </x:row>
    <x:row r="103">
      <x:c r="F103" s="26"/>
      <x:c r="G103" s="26"/>
      <x:c r="N103" s="26"/>
    </x:row>
    <x:row r="104">
      <x:c r="F104" s="26"/>
      <x:c r="G104" s="26"/>
      <x:c r="N104" s="26"/>
    </x:row>
    <x:row r="105">
      <x:c r="F105" s="26"/>
      <x:c r="G105" s="26"/>
      <x:c r="N105" s="26"/>
    </x:row>
    <x:row r="106">
      <x:c r="F106" s="26"/>
      <x:c r="G106" s="26"/>
      <x:c r="N106" s="26"/>
    </x:row>
    <x:row r="107">
      <x:c r="F107" s="26"/>
      <x:c r="G107" s="26"/>
      <x:c r="N107" s="26"/>
    </x:row>
    <x:row r="108">
      <x:c r="F108" s="26"/>
      <x:c r="G108" s="26"/>
      <x:c r="N108" s="26"/>
    </x:row>
    <x:row r="109">
      <x:c r="F109" s="26"/>
      <x:c r="G109" s="26"/>
      <x:c r="N109" s="26"/>
    </x:row>
    <x:row r="110">
      <x:c r="F110" s="26"/>
      <x:c r="G110" s="26"/>
      <x:c r="N110" s="26"/>
    </x:row>
    <x:row r="111">
      <x:c r="F111" s="26"/>
      <x:c r="G111" s="26"/>
      <x:c r="N111" s="26"/>
    </x:row>
    <x:row r="112">
      <x:c r="F112" s="26"/>
      <x:c r="G112" s="26"/>
      <x:c r="N112" s="26"/>
    </x:row>
    <x:row r="113">
      <x:c r="F113" s="26"/>
      <x:c r="G113" s="26"/>
      <x:c r="N113" s="26"/>
    </x:row>
    <x:row r="114">
      <x:c r="F114" s="26"/>
      <x:c r="G114" s="26"/>
      <x:c r="N114" s="26"/>
    </x:row>
    <x:row r="115">
      <x:c r="F115" s="26"/>
      <x:c r="G115" s="26"/>
      <x:c r="N115" s="26"/>
    </x:row>
    <x:row r="116">
      <x:c r="F116" s="26"/>
      <x:c r="G116" s="26"/>
      <x:c r="N116" s="26"/>
    </x:row>
    <x:row r="117">
      <x:c r="F117" s="26"/>
      <x:c r="G117" s="26"/>
      <x:c r="N117" s="26"/>
    </x:row>
    <x:row r="118">
      <x:c r="F118" s="26"/>
      <x:c r="G118" s="26"/>
      <x:c r="N118" s="26"/>
    </x:row>
    <x:row r="119">
      <x:c r="F119" s="26"/>
      <x:c r="G119" s="26"/>
      <x:c r="N119" s="26"/>
    </x:row>
    <x:row r="120">
      <x:c r="F120" s="26"/>
      <x:c r="G120" s="26"/>
      <x:c r="N120" s="26"/>
    </x:row>
    <x:row r="121">
      <x:c r="F121" s="26"/>
      <x:c r="G121" s="26"/>
      <x:c r="N121" s="26"/>
    </x:row>
    <x:row r="122">
      <x:c r="F122" s="26"/>
      <x:c r="G122" s="26"/>
      <x:c r="N122" s="26"/>
    </x:row>
    <x:row r="123">
      <x:c r="F123" s="26"/>
      <x:c r="G123" s="26"/>
      <x:c r="N123" s="26"/>
    </x:row>
    <x:row r="124">
      <x:c r="F124" s="26"/>
      <x:c r="G124" s="26"/>
      <x:c r="N124" s="26"/>
    </x:row>
    <x:row r="125">
      <x:c r="F125" s="26"/>
      <x:c r="G125" s="26"/>
      <x:c r="N125" s="26"/>
    </x:row>
    <x:row r="126">
      <x:c r="F126" s="26"/>
      <x:c r="G126" s="26"/>
      <x:c r="N126" s="26"/>
    </x:row>
    <x:row r="127">
      <x:c r="F127" s="26"/>
      <x:c r="G127" s="26"/>
      <x:c r="N127" s="26"/>
    </x:row>
    <x:row r="128">
      <x:c r="F128" s="26"/>
      <x:c r="G128" s="26"/>
      <x:c r="N128" s="26"/>
    </x:row>
    <x:row r="129">
      <x:c r="F129" s="26"/>
      <x:c r="G129" s="26"/>
      <x:c r="N129" s="26"/>
    </x:row>
    <x:row r="130">
      <x:c r="F130" s="26"/>
      <x:c r="G130" s="26"/>
      <x:c r="N130" s="26"/>
    </x:row>
    <x:row r="131">
      <x:c r="F131" s="26"/>
      <x:c r="G131" s="26"/>
      <x:c r="N131" s="26"/>
    </x:row>
    <x:row r="132">
      <x:c r="F132" s="26"/>
      <x:c r="G132" s="26"/>
      <x:c r="N132" s="26"/>
    </x:row>
    <x:row r="133">
      <x:c r="F133" s="26"/>
      <x:c r="G133" s="26"/>
      <x:c r="N133" s="26"/>
    </x:row>
    <x:row r="134">
      <x:c r="F134" s="26"/>
      <x:c r="G134" s="26"/>
      <x:c r="N134" s="26"/>
    </x:row>
    <x:row r="135">
      <x:c r="F135" s="26"/>
      <x:c r="G135" s="26"/>
      <x:c r="N135" s="26"/>
    </x:row>
    <x:row r="136">
      <x:c r="F136" s="26"/>
      <x:c r="G136" s="26"/>
      <x:c r="N136" s="26"/>
    </x:row>
    <x:row r="137">
      <x:c r="F137" s="26"/>
      <x:c r="G137" s="26"/>
      <x:c r="N137" s="26"/>
    </x:row>
    <x:row r="138">
      <x:c r="F138" s="26"/>
      <x:c r="G138" s="26"/>
      <x:c r="N138" s="26"/>
    </x:row>
    <x:row r="139">
      <x:c r="F139" s="26"/>
      <x:c r="G139" s="26"/>
      <x:c r="N139" s="26"/>
    </x:row>
    <x:row r="140">
      <x:c r="F140" s="26"/>
      <x:c r="G140" s="26"/>
      <x:c r="N140" s="26"/>
    </x:row>
    <x:row r="141">
      <x:c r="F141" s="26"/>
      <x:c r="G141" s="26"/>
      <x:c r="N141" s="26"/>
    </x:row>
    <x:row r="142">
      <x:c r="F142" s="26"/>
      <x:c r="G142" s="26"/>
      <x:c r="N142" s="26"/>
    </x:row>
    <x:row r="143">
      <x:c r="F143" s="26"/>
      <x:c r="G143" s="26"/>
      <x:c r="N143" s="26"/>
    </x:row>
    <x:row r="144">
      <x:c r="F144" s="26"/>
      <x:c r="G144" s="26"/>
      <x:c r="N144" s="26"/>
    </x:row>
    <x:row r="145">
      <x:c r="F145" s="26"/>
      <x:c r="G145" s="26"/>
      <x:c r="N145" s="26"/>
    </x:row>
    <x:row r="146">
      <x:c r="F146" s="26"/>
      <x:c r="G146" s="26"/>
      <x:c r="N146" s="26"/>
    </x:row>
    <x:row r="147">
      <x:c r="F147" s="26"/>
      <x:c r="G147" s="26"/>
      <x:c r="N147" s="26"/>
    </x:row>
    <x:row r="148">
      <x:c r="F148" s="26"/>
      <x:c r="G148" s="26"/>
      <x:c r="N148" s="26"/>
    </x:row>
    <x:row r="149">
      <x:c r="F149" s="26"/>
      <x:c r="G149" s="26"/>
      <x:c r="N149" s="26"/>
    </x:row>
    <x:row r="150">
      <x:c r="F150" s="26"/>
      <x:c r="G150" s="26"/>
      <x:c r="N150" s="26"/>
    </x:row>
    <x:row r="151">
      <x:c r="F151" s="26"/>
      <x:c r="G151" s="26"/>
      <x:c r="N151" s="26"/>
    </x:row>
    <x:row r="152">
      <x:c r="F152" s="26"/>
      <x:c r="G152" s="26"/>
      <x:c r="N152" s="26"/>
    </x:row>
    <x:row r="153">
      <x:c r="F153" s="26"/>
      <x:c r="G153" s="26"/>
      <x:c r="N153" s="26"/>
    </x:row>
    <x:row r="154">
      <x:c r="F154" s="26"/>
      <x:c r="G154" s="26"/>
      <x:c r="N154" s="26"/>
    </x:row>
    <x:row r="155">
      <x:c r="F155" s="26"/>
      <x:c r="G155" s="26"/>
      <x:c r="N155" s="26"/>
    </x:row>
    <x:row r="156">
      <x:c r="F156" s="26"/>
      <x:c r="G156" s="26"/>
      <x:c r="N156" s="26"/>
    </x:row>
    <x:row r="157">
      <x:c r="F157" s="26"/>
      <x:c r="G157" s="26"/>
      <x:c r="N157" s="26"/>
    </x:row>
    <x:row r="158">
      <x:c r="F158" s="26"/>
      <x:c r="G158" s="26"/>
      <x:c r="N158" s="26"/>
    </x:row>
    <x:row r="159">
      <x:c r="F159" s="26"/>
      <x:c r="G159" s="26"/>
      <x:c r="N159" s="26"/>
    </x:row>
    <x:row r="160">
      <x:c r="F160" s="26"/>
      <x:c r="G160" s="26"/>
      <x:c r="N160" s="26"/>
    </x:row>
    <x:row r="161">
      <x:c r="F161" s="26"/>
      <x:c r="G161" s="26"/>
      <x:c r="N161" s="26"/>
    </x:row>
    <x:row r="162">
      <x:c r="F162" s="26"/>
      <x:c r="G162" s="26"/>
      <x:c r="N162" s="26"/>
    </x:row>
    <x:row r="163">
      <x:c r="F163" s="26"/>
      <x:c r="G163" s="26"/>
      <x:c r="N163" s="26"/>
    </x:row>
    <x:row r="164">
      <x:c r="F164" s="26"/>
      <x:c r="G164" s="26"/>
      <x:c r="N164" s="26"/>
    </x:row>
    <x:row r="165">
      <x:c r="F165" s="26"/>
      <x:c r="G165" s="26"/>
      <x:c r="N165" s="26"/>
    </x:row>
    <x:row r="166">
      <x:c r="F166" s="26"/>
      <x:c r="G166" s="26"/>
      <x:c r="N166" s="26"/>
    </x:row>
    <x:row r="167">
      <x:c r="F167" s="26"/>
      <x:c r="G167" s="26"/>
      <x:c r="N167" s="26"/>
    </x:row>
    <x:row r="168">
      <x:c r="F168" s="26"/>
      <x:c r="G168" s="26"/>
      <x:c r="N168" s="26"/>
    </x:row>
    <x:row r="169">
      <x:c r="F169" s="26"/>
      <x:c r="G169" s="26"/>
      <x:c r="N169" s="26"/>
    </x:row>
    <x:row r="170">
      <x:c r="F170" s="26"/>
      <x:c r="G170" s="26"/>
      <x:c r="N170" s="26"/>
    </x:row>
    <x:row r="171">
      <x:c r="F171" s="26"/>
      <x:c r="G171" s="26"/>
      <x:c r="N171" s="26"/>
    </x:row>
    <x:row r="172">
      <x:c r="F172" s="26"/>
      <x:c r="G172" s="26"/>
      <x:c r="N172" s="26"/>
    </x:row>
    <x:row r="173">
      <x:c r="F173" s="26"/>
      <x:c r="G173" s="26"/>
      <x:c r="N173" s="26"/>
    </x:row>
    <x:row r="174">
      <x:c r="F174" s="26"/>
      <x:c r="G174" s="26"/>
      <x:c r="N174" s="26"/>
    </x:row>
    <x:row r="175">
      <x:c r="F175" s="26"/>
      <x:c r="G175" s="26"/>
      <x:c r="N175" s="26"/>
    </x:row>
    <x:row r="176">
      <x:c r="F176" s="26"/>
      <x:c r="G176" s="26"/>
      <x:c r="N176" s="26"/>
    </x:row>
    <x:row r="177">
      <x:c r="F177" s="26"/>
      <x:c r="G177" s="26"/>
      <x:c r="N177" s="26"/>
    </x:row>
    <x:row r="178">
      <x:c r="F178" s="26"/>
      <x:c r="G178" s="26"/>
      <x:c r="N178" s="26"/>
    </x:row>
    <x:row r="179">
      <x:c r="F179" s="26"/>
      <x:c r="G179" s="26"/>
      <x:c r="N179" s="26"/>
    </x:row>
    <x:row r="180">
      <x:c r="F180" s="26"/>
      <x:c r="G180" s="26"/>
      <x:c r="N180" s="26"/>
    </x:row>
    <x:row r="181">
      <x:c r="F181" s="26"/>
      <x:c r="G181" s="26"/>
      <x:c r="N181" s="26"/>
    </x:row>
    <x:row r="182">
      <x:c r="F182" s="26"/>
      <x:c r="G182" s="26"/>
      <x:c r="N182" s="26"/>
    </x:row>
    <x:row r="183">
      <x:c r="F183" s="26"/>
      <x:c r="G183" s="26"/>
      <x:c r="N183" s="26"/>
    </x:row>
    <x:row r="184">
      <x:c r="F184" s="26"/>
      <x:c r="G184" s="26"/>
      <x:c r="N184" s="26"/>
    </x:row>
    <x:row r="185">
      <x:c r="F185" s="26"/>
      <x:c r="G185" s="26"/>
      <x:c r="N185" s="26"/>
    </x:row>
    <x:row r="186">
      <x:c r="F186" s="26"/>
      <x:c r="G186" s="26"/>
      <x:c r="N186" s="26"/>
    </x:row>
    <x:row r="187">
      <x:c r="F187" s="26"/>
      <x:c r="G187" s="26"/>
      <x:c r="N187" s="26"/>
    </x:row>
    <x:row r="188">
      <x:c r="F188" s="26"/>
      <x:c r="G188" s="26"/>
      <x:c r="N188" s="26"/>
    </x:row>
    <x:row r="189">
      <x:c r="F189" s="26"/>
      <x:c r="G189" s="26"/>
      <x:c r="N189" s="26"/>
    </x:row>
    <x:row r="190">
      <x:c r="F190" s="26"/>
      <x:c r="G190" s="26"/>
      <x:c r="N190" s="26"/>
    </x:row>
    <x:row r="191">
      <x:c r="F191" s="26"/>
      <x:c r="G191" s="26"/>
      <x:c r="N191" s="26"/>
    </x:row>
    <x:row r="192">
      <x:c r="F192" s="26"/>
      <x:c r="G192" s="26"/>
      <x:c r="N192" s="26"/>
    </x:row>
    <x:row r="193">
      <x:c r="F193" s="26"/>
      <x:c r="G193" s="26"/>
      <x:c r="N193" s="26"/>
    </x:row>
    <x:row r="194">
      <x:c r="F194" s="26"/>
      <x:c r="G194" s="26"/>
      <x:c r="N194" s="26"/>
    </x:row>
    <x:row r="195">
      <x:c r="F195" s="26"/>
      <x:c r="G195" s="26"/>
      <x:c r="N195" s="26"/>
    </x:row>
    <x:row r="196">
      <x:c r="F196" s="26"/>
      <x:c r="G196" s="26"/>
      <x:c r="N196" s="26"/>
    </x:row>
    <x:row r="197">
      <x:c r="F197" s="26"/>
      <x:c r="G197" s="26"/>
      <x:c r="N197" s="26"/>
    </x:row>
    <x:row r="198">
      <x:c r="F198" s="26"/>
      <x:c r="G198" s="26"/>
      <x:c r="N198" s="26"/>
    </x:row>
    <x:row r="199">
      <x:c r="F199" s="26"/>
      <x:c r="G199" s="26"/>
      <x:c r="N199" s="26"/>
    </x:row>
    <x:row r="200">
      <x:c r="F200" s="26"/>
      <x:c r="G200" s="26"/>
      <x:c r="N200" s="26"/>
    </x:row>
  </x:sheetData>
  <x:dataValidations count="2">
    <x:dataValidation type="list" sqref="H2:H200">
      <x:formula1>"BORRADOR,ASIGNADO,EN_PROCESO,PENDIENTE_REVISION,RECONTEO,CERRADO,CANCELADO"</x:formula1>
    </x:dataValidation>
    <x:dataValidation type="list" sqref="I2:I200">
      <x:formula1>"CIEGO_HIBRIDO,CIEGO_ESTRICTO,MULTI_QR"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8" hidden="0" customWidth="1"/>
    <x:col min="5" max="5" width="22" hidden="0" customWidth="1"/>
    <x:col min="6" max="6" width="15" hidden="0" customWidth="1"/>
    <x:col min="7" max="7" width="18" hidden="0" customWidth="1"/>
    <x:col min="8" max="8" width="10" hidden="0" customWidth="1"/>
    <x:col min="9" max="9" width="20" hidden="0" customWidth="1"/>
    <x:col min="10" max="10" width="24" hidden="0" customWidth="1"/>
    <x:col min="11" max="11" width="18" hidden="0" customWidth="1"/>
    <x:col min="12" max="12" width="12" hidden="0" customWidth="1"/>
    <x:col min="13" max="13" width="14" hidden="0" customWidth="1"/>
    <x:col min="14" max="14" width="28" hidden="0" customWidth="1"/>
  </x:cols>
  <x:sheetData>
    <x:row r="1">
      <x:c r="A1" s="12" t="str">
        <x:v>Event_ID</x:v>
      </x:c>
      <x:c r="B1" s="12" t="str">
        <x:v>ID_Inventario</x:v>
      </x:c>
      <x:c r="C1" s="12" t="str">
        <x:v>Intento</x:v>
      </x:c>
      <x:c r="D1" s="12" t="str">
        <x:v>Usuario</x:v>
      </x:c>
      <x:c r="E1" s="12" t="str">
        <x:v>Fecha_Hora</x:v>
      </x:c>
      <x:c r="F1" s="12" t="str">
        <x:v>Codigo</x:v>
      </x:c>
      <x:c r="G1" s="12" t="str">
        <x:v>Tipo_Evento</x:v>
      </x:c>
      <x:c r="H1" s="12" t="str">
        <x:v>Delta</x:v>
      </x:c>
      <x:c r="I1" s="12" t="str">
        <x:v>Cantidad_Resultante</x:v>
      </x:c>
      <x:c r="J1" s="12" t="str">
        <x:v>UUID_Operacion</x:v>
      </x:c>
      <x:c r="K1" s="12" t="str">
        <x:v>Dispositivo</x:v>
      </x:c>
      <x:c r="L1" s="12" t="str">
        <x:v>Conexion</x:v>
      </x:c>
      <x:c r="M1" s="12" t="str">
        <x:v>Estado_Sync</x:v>
      </x:c>
      <x:c r="N1" s="12" t="str">
        <x:v>Detalle</x:v>
      </x:c>
    </x:row>
    <x:row r="2">
      <x:c r="A2" t="str">
        <x:v>EVT-0001</x:v>
      </x:c>
      <x:c r="B2" t="str">
        <x:v>INV-2026-0001</x:v>
      </x:c>
      <x:c r="C2" t="n">
        <x:v>1</x:v>
      </x:c>
      <x:c r="D2" t="str">
        <x:v>usuario01</x:v>
      </x:c>
      <x:c r="E2" s="30" t="n">
        <x:v>46286.416666666664</x:v>
      </x:c>
      <x:c r="F2" t="str">
        <x:v>THE60005</x:v>
      </x:c>
      <x:c r="G2" t="str">
        <x:v>QR</x:v>
      </x:c>
      <x:c r="H2" t="n">
        <x:v>1</x:v>
      </x:c>
      <x:c r="I2" t="n">
        <x:v>1</x:v>
      </x:c>
      <x:c r="J2" t="str">
        <x:v>uuid-001</x:v>
      </x:c>
      <x:c r="K2" t="str">
        <x:v>iPhone/PWA</x:v>
      </x:c>
      <x:c r="L2" t="str">
        <x:v>ONLINE</x:v>
      </x:c>
      <x:c r="M2" t="str">
        <x:v>SYNC</x:v>
      </x:c>
      <x:c r="N2" t="str">
        <x:v>QR detectado</x:v>
      </x:c>
    </x:row>
    <x:row r="3">
      <x:c r="A3" t="str">
        <x:v>EVT-0002</x:v>
      </x:c>
      <x:c r="B3" t="str">
        <x:v>INV-2026-0001</x:v>
      </x:c>
      <x:c r="C3" t="n">
        <x:v>1</x:v>
      </x:c>
      <x:c r="D3" t="str">
        <x:v>usuario01</x:v>
      </x:c>
      <x:c r="E3" s="30" t="n">
        <x:v>46286.41668981482</x:v>
      </x:c>
      <x:c r="F3" t="str">
        <x:v>THE60005</x:v>
      </x:c>
      <x:c r="G3" t="str">
        <x:v>QR</x:v>
      </x:c>
      <x:c r="H3" t="n">
        <x:v>1</x:v>
      </x:c>
      <x:c r="I3" t="n">
        <x:v>2</x:v>
      </x:c>
      <x:c r="J3" t="str">
        <x:v>uuid-002</x:v>
      </x:c>
      <x:c r="K3" t="str">
        <x:v>iPhone/PWA</x:v>
      </x:c>
      <x:c r="L3" t="str">
        <x:v>ONLINE</x:v>
      </x:c>
      <x:c r="M3" t="str">
        <x:v>SYNC</x:v>
      </x:c>
      <x:c r="N3" t="str">
        <x:v>Segundo QR</x:v>
      </x:c>
    </x:row>
    <x:row r="4">
      <x:c r="A4" t="str">
        <x:v>EVT-0003</x:v>
      </x:c>
      <x:c r="B4" t="str">
        <x:v>INV-2026-0001</x:v>
      </x:c>
      <x:c r="C4" t="n">
        <x:v>1</x:v>
      </x:c>
      <x:c r="D4" t="str">
        <x:v>usuario01</x:v>
      </x:c>
      <x:c r="E4" s="30" t="n">
        <x:v>46286.41672453703</x:v>
      </x:c>
      <x:c r="F4" t="str">
        <x:v>THE60005</x:v>
      </x:c>
      <x:c r="G4" t="str">
        <x:v>MANUAL_PLUS</x:v>
      </x:c>
      <x:c r="H4" t="n">
        <x:v>1</x:v>
      </x:c>
      <x:c r="I4" t="n">
        <x:v>3</x:v>
      </x:c>
      <x:c r="J4" t="str">
        <x:v>uuid-003</x:v>
      </x:c>
      <x:c r="K4" t="str">
        <x:v>iPhone/PWA</x:v>
      </x:c>
      <x:c r="L4" t="str">
        <x:v>ONLINE</x:v>
      </x:c>
      <x:c r="M4" t="str">
        <x:v>SYNC</x:v>
      </x:c>
      <x:c r="N4" t="str">
        <x:v>Boton +</x:v>
      </x:c>
    </x:row>
    <x:row r="5">
      <x:c r="A5" t="str">
        <x:v>EVT-0004</x:v>
      </x:c>
      <x:c r="B5" t="str">
        <x:v>INV-2026-0001</x:v>
      </x:c>
      <x:c r="C5" t="n">
        <x:v>1</x:v>
      </x:c>
      <x:c r="D5" t="str">
        <x:v>usuario01</x:v>
      </x:c>
      <x:c r="E5" s="30" t="n">
        <x:v>46286.41675925926</x:v>
      </x:c>
      <x:c r="F5" t="str">
        <x:v>THE60005</x:v>
      </x:c>
      <x:c r="G5" t="str">
        <x:v>MANUAL_SET</x:v>
      </x:c>
      <x:c r="H5" t="n">
        <x:v>9</x:v>
      </x:c>
      <x:c r="I5" t="n">
        <x:v>12</x:v>
      </x:c>
      <x:c r="J5" t="str">
        <x:v>uuid-004</x:v>
      </x:c>
      <x:c r="K5" t="str">
        <x:v>iPhone/PWA</x:v>
      </x:c>
      <x:c r="L5" t="str">
        <x:v>OFFLINE</x:v>
      </x:c>
      <x:c r="M5" t="str">
        <x:v>PENDIENTE</x:v>
      </x:c>
      <x:c r="N5" t="str">
        <x:v>Edicion directa a 12</x:v>
      </x:c>
    </x:row>
    <x:row r="6">
      <x:c r="A6" t="str">
        <x:v>EVT-0005</x:v>
      </x:c>
      <x:c r="B6" t="str">
        <x:v>INV-2026-0001</x:v>
      </x:c>
      <x:c r="C6" t="n">
        <x:v>1</x:v>
      </x:c>
      <x:c r="D6" t="str">
        <x:v>usuario01</x:v>
      </x:c>
      <x:c r="E6" s="30" t="n">
        <x:v>46286.41684027778</x:v>
      </x:c>
      <x:c r="F6" t="str">
        <x:v>KIA60005</x:v>
      </x:c>
      <x:c r="G6" t="str">
        <x:v>QR</x:v>
      </x:c>
      <x:c r="H6" t="n">
        <x:v>1</x:v>
      </x:c>
      <x:c r="I6" t="n">
        <x:v>1</x:v>
      </x:c>
      <x:c r="J6" t="str">
        <x:v>uuid-005</x:v>
      </x:c>
      <x:c r="K6" t="str">
        <x:v>iPhone/PWA</x:v>
      </x:c>
      <x:c r="L6" t="str">
        <x:v>OFFLINE</x:v>
      </x:c>
      <x:c r="M6" t="str">
        <x:v>PENDIENTE</x:v>
      </x:c>
      <x:c r="N6" t="str">
        <x:v>QR detectado</x:v>
      </x:c>
    </x:row>
    <x:row r="7">
      <x:c r="A7" t="str">
        <x:v>EVT-0006</x:v>
      </x:c>
      <x:c r="B7" t="str">
        <x:v>INV-2026-0001</x:v>
      </x:c>
      <x:c r="C7" t="n">
        <x:v>1</x:v>
      </x:c>
      <x:c r="D7" t="str">
        <x:v>usuario01</x:v>
      </x:c>
      <x:c r="E7" s="30" t="n">
        <x:v>46286.41689814815</x:v>
      </x:c>
      <x:c r="F7" t="str">
        <x:v>KIA60005</x:v>
      </x:c>
      <x:c r="G7" t="str">
        <x:v>DANADO_SET</x:v>
      </x:c>
      <x:c r="H7" t="n">
        <x:v>0</x:v>
      </x:c>
      <x:c r="I7" t="n">
        <x:v>1</x:v>
      </x:c>
      <x:c r="J7" t="str">
        <x:v>uuid-006</x:v>
      </x:c>
      <x:c r="K7" t="str">
        <x:v>iPhone/PWA</x:v>
      </x:c>
      <x:c r="L7" t="str">
        <x:v>ONLINE</x:v>
      </x:c>
      <x:c r="M7" t="str">
        <x:v>SYNC</x:v>
      </x:c>
      <x:c r="N7" t="str">
        <x:v>Dañados=1</x:v>
      </x:c>
    </x:row>
    <x:row r="8">
      <x:c r="E8" s="30"/>
    </x:row>
    <x:row r="9">
      <x:c r="E9" s="30"/>
    </x:row>
    <x:row r="10">
      <x:c r="E10" s="30"/>
    </x:row>
    <x:row r="11">
      <x:c r="E11" s="30"/>
    </x:row>
    <x:row r="12">
      <x:c r="E12" s="30"/>
    </x:row>
    <x:row r="13">
      <x:c r="E13" s="30"/>
    </x:row>
    <x:row r="14">
      <x:c r="E14" s="30"/>
    </x:row>
    <x:row r="15">
      <x:c r="E15" s="30"/>
    </x:row>
    <x:row r="16">
      <x:c r="E16" s="30"/>
    </x:row>
    <x:row r="17">
      <x:c r="E17" s="30"/>
    </x:row>
    <x:row r="18">
      <x:c r="E18" s="30"/>
    </x:row>
    <x:row r="19">
      <x:c r="E19" s="30"/>
    </x:row>
    <x:row r="20">
      <x:c r="E20" s="30"/>
    </x:row>
    <x:row r="21">
      <x:c r="E21" s="30"/>
    </x:row>
    <x:row r="22">
      <x:c r="E22" s="30"/>
    </x:row>
    <x:row r="23">
      <x:c r="E23" s="30"/>
    </x:row>
    <x:row r="24">
      <x:c r="E24" s="30"/>
    </x:row>
    <x:row r="25">
      <x:c r="E25" s="30"/>
    </x:row>
    <x:row r="26">
      <x:c r="E26" s="30"/>
    </x:row>
    <x:row r="27">
      <x:c r="E27" s="30"/>
    </x:row>
    <x:row r="28">
      <x:c r="E28" s="30"/>
    </x:row>
    <x:row r="29">
      <x:c r="E29" s="30"/>
    </x:row>
    <x:row r="30">
      <x:c r="E30" s="30"/>
    </x:row>
    <x:row r="31">
      <x:c r="E31" s="30"/>
    </x:row>
    <x:row r="32">
      <x:c r="E32" s="30"/>
    </x:row>
    <x:row r="33">
      <x:c r="E33" s="30"/>
    </x:row>
    <x:row r="34">
      <x:c r="E34" s="30"/>
    </x:row>
    <x:row r="35">
      <x:c r="E35" s="30"/>
    </x:row>
    <x:row r="36">
      <x:c r="E36" s="30"/>
    </x:row>
    <x:row r="37">
      <x:c r="E37" s="30"/>
    </x:row>
    <x:row r="38">
      <x:c r="E38" s="30"/>
    </x:row>
    <x:row r="39">
      <x:c r="E39" s="30"/>
    </x:row>
    <x:row r="40">
      <x:c r="E40" s="30"/>
    </x:row>
    <x:row r="41">
      <x:c r="E41" s="30"/>
    </x:row>
    <x:row r="42">
      <x:c r="E42" s="30"/>
    </x:row>
    <x:row r="43">
      <x:c r="E43" s="30"/>
    </x:row>
    <x:row r="44">
      <x:c r="E44" s="30"/>
    </x:row>
    <x:row r="45">
      <x:c r="E45" s="30"/>
    </x:row>
    <x:row r="46">
      <x:c r="E46" s="30"/>
    </x:row>
    <x:row r="47">
      <x:c r="E47" s="30"/>
    </x:row>
    <x:row r="48">
      <x:c r="E48" s="30"/>
    </x:row>
    <x:row r="49">
      <x:c r="E49" s="30"/>
    </x:row>
    <x:row r="50">
      <x:c r="E50" s="30"/>
    </x:row>
    <x:row r="51">
      <x:c r="E51" s="30"/>
    </x:row>
    <x:row r="52">
      <x:c r="E52" s="30"/>
    </x:row>
    <x:row r="53">
      <x:c r="E53" s="30"/>
    </x:row>
    <x:row r="54">
      <x:c r="E54" s="30"/>
    </x:row>
    <x:row r="55">
      <x:c r="E55" s="30"/>
    </x:row>
    <x:row r="56">
      <x:c r="E56" s="30"/>
    </x:row>
    <x:row r="57">
      <x:c r="E57" s="30"/>
    </x:row>
    <x:row r="58">
      <x:c r="E58" s="30"/>
    </x:row>
    <x:row r="59">
      <x:c r="E59" s="30"/>
    </x:row>
    <x:row r="60">
      <x:c r="E60" s="30"/>
    </x:row>
    <x:row r="61">
      <x:c r="E61" s="30"/>
    </x:row>
    <x:row r="62">
      <x:c r="E62" s="30"/>
    </x:row>
    <x:row r="63">
      <x:c r="E63" s="30"/>
    </x:row>
    <x:row r="64">
      <x:c r="E64" s="30"/>
    </x:row>
    <x:row r="65">
      <x:c r="E65" s="30"/>
    </x:row>
    <x:row r="66">
      <x:c r="E66" s="30"/>
    </x:row>
    <x:row r="67">
      <x:c r="E67" s="30"/>
    </x:row>
    <x:row r="68">
      <x:c r="E68" s="30"/>
    </x:row>
    <x:row r="69">
      <x:c r="E69" s="30"/>
    </x:row>
    <x:row r="70">
      <x:c r="E70" s="30"/>
    </x:row>
    <x:row r="71">
      <x:c r="E71" s="30"/>
    </x:row>
    <x:row r="72">
      <x:c r="E72" s="30"/>
    </x:row>
    <x:row r="73">
      <x:c r="E73" s="30"/>
    </x:row>
    <x:row r="74">
      <x:c r="E74" s="30"/>
    </x:row>
    <x:row r="75">
      <x:c r="E75" s="30"/>
    </x:row>
    <x:row r="76">
      <x:c r="E76" s="30"/>
    </x:row>
    <x:row r="77">
      <x:c r="E77" s="30"/>
    </x:row>
    <x:row r="78">
      <x:c r="E78" s="30"/>
    </x:row>
    <x:row r="79">
      <x:c r="E79" s="30"/>
    </x:row>
    <x:row r="80">
      <x:c r="E80" s="30"/>
    </x:row>
    <x:row r="81">
      <x:c r="E81" s="30"/>
    </x:row>
    <x:row r="82">
      <x:c r="E82" s="30"/>
    </x:row>
    <x:row r="83">
      <x:c r="E83" s="30"/>
    </x:row>
    <x:row r="84">
      <x:c r="E84" s="30"/>
    </x:row>
    <x:row r="85">
      <x:c r="E85" s="30"/>
    </x:row>
    <x:row r="86">
      <x:c r="E86" s="30"/>
    </x:row>
    <x:row r="87">
      <x:c r="E87" s="30"/>
    </x:row>
    <x:row r="88">
      <x:c r="E88" s="30"/>
    </x:row>
    <x:row r="89">
      <x:c r="E89" s="30"/>
    </x:row>
    <x:row r="90">
      <x:c r="E90" s="30"/>
    </x:row>
    <x:row r="91">
      <x:c r="E91" s="30"/>
    </x:row>
    <x:row r="92">
      <x:c r="E92" s="30"/>
    </x:row>
    <x:row r="93">
      <x:c r="E93" s="30"/>
    </x:row>
    <x:row r="94">
      <x:c r="E94" s="30"/>
    </x:row>
    <x:row r="95">
      <x:c r="E95" s="30"/>
    </x:row>
    <x:row r="96">
      <x:c r="E96" s="30"/>
    </x:row>
    <x:row r="97">
      <x:c r="E97" s="30"/>
    </x:row>
    <x:row r="98">
      <x:c r="E98" s="30"/>
    </x:row>
    <x:row r="99">
      <x:c r="E99" s="30"/>
    </x:row>
    <x:row r="100">
      <x:c r="E100" s="30"/>
    </x:row>
    <x:row r="101">
      <x:c r="E101" s="30"/>
    </x:row>
    <x:row r="102">
      <x:c r="E102" s="30"/>
    </x:row>
    <x:row r="103">
      <x:c r="E103" s="30"/>
    </x:row>
    <x:row r="104">
      <x:c r="E104" s="30"/>
    </x:row>
    <x:row r="105">
      <x:c r="E105" s="30"/>
    </x:row>
    <x:row r="106">
      <x:c r="E106" s="30"/>
    </x:row>
    <x:row r="107">
      <x:c r="E107" s="30"/>
    </x:row>
    <x:row r="108">
      <x:c r="E108" s="30"/>
    </x:row>
    <x:row r="109">
      <x:c r="E109" s="30"/>
    </x:row>
    <x:row r="110">
      <x:c r="E110" s="30"/>
    </x:row>
    <x:row r="111">
      <x:c r="E111" s="30"/>
    </x:row>
    <x:row r="112">
      <x:c r="E112" s="30"/>
    </x:row>
    <x:row r="113">
      <x:c r="E113" s="30"/>
    </x:row>
    <x:row r="114">
      <x:c r="E114" s="30"/>
    </x:row>
    <x:row r="115">
      <x:c r="E115" s="30"/>
    </x:row>
    <x:row r="116">
      <x:c r="E116" s="30"/>
    </x:row>
    <x:row r="117">
      <x:c r="E117" s="30"/>
    </x:row>
    <x:row r="118">
      <x:c r="E118" s="30"/>
    </x:row>
    <x:row r="119">
      <x:c r="E119" s="30"/>
    </x:row>
    <x:row r="120">
      <x:c r="E120" s="30"/>
    </x:row>
    <x:row r="121">
      <x:c r="E121" s="30"/>
    </x:row>
    <x:row r="122">
      <x:c r="E122" s="30"/>
    </x:row>
    <x:row r="123">
      <x:c r="E123" s="30"/>
    </x:row>
    <x:row r="124">
      <x:c r="E124" s="30"/>
    </x:row>
    <x:row r="125">
      <x:c r="E125" s="30"/>
    </x:row>
    <x:row r="126">
      <x:c r="E126" s="30"/>
    </x:row>
    <x:row r="127">
      <x:c r="E127" s="30"/>
    </x:row>
    <x:row r="128">
      <x:c r="E128" s="30"/>
    </x:row>
    <x:row r="129">
      <x:c r="E129" s="30"/>
    </x:row>
    <x:row r="130">
      <x:c r="E130" s="30"/>
    </x:row>
    <x:row r="131">
      <x:c r="E131" s="30"/>
    </x:row>
    <x:row r="132">
      <x:c r="E132" s="30"/>
    </x:row>
    <x:row r="133">
      <x:c r="E133" s="30"/>
    </x:row>
    <x:row r="134">
      <x:c r="E134" s="30"/>
    </x:row>
    <x:row r="135">
      <x:c r="E135" s="30"/>
    </x:row>
    <x:row r="136">
      <x:c r="E136" s="30"/>
    </x:row>
    <x:row r="137">
      <x:c r="E137" s="30"/>
    </x:row>
    <x:row r="138">
      <x:c r="E138" s="30"/>
    </x:row>
    <x:row r="139">
      <x:c r="E139" s="30"/>
    </x:row>
    <x:row r="140">
      <x:c r="E140" s="30"/>
    </x:row>
    <x:row r="141">
      <x:c r="E141" s="30"/>
    </x:row>
    <x:row r="142">
      <x:c r="E142" s="30"/>
    </x:row>
    <x:row r="143">
      <x:c r="E143" s="30"/>
    </x:row>
    <x:row r="144">
      <x:c r="E144" s="30"/>
    </x:row>
    <x:row r="145">
      <x:c r="E145" s="30"/>
    </x:row>
    <x:row r="146">
      <x:c r="E146" s="30"/>
    </x:row>
    <x:row r="147">
      <x:c r="E147" s="30"/>
    </x:row>
    <x:row r="148">
      <x:c r="E148" s="30"/>
    </x:row>
    <x:row r="149">
      <x:c r="E149" s="30"/>
    </x:row>
    <x:row r="150">
      <x:c r="E150" s="30"/>
    </x:row>
    <x:row r="151">
      <x:c r="E151" s="30"/>
    </x:row>
    <x:row r="152">
      <x:c r="E152" s="30"/>
    </x:row>
    <x:row r="153">
      <x:c r="E153" s="30"/>
    </x:row>
    <x:row r="154">
      <x:c r="E154" s="30"/>
    </x:row>
    <x:row r="155">
      <x:c r="E155" s="30"/>
    </x:row>
    <x:row r="156">
      <x:c r="E156" s="30"/>
    </x:row>
    <x:row r="157">
      <x:c r="E157" s="30"/>
    </x:row>
    <x:row r="158">
      <x:c r="E158" s="30"/>
    </x:row>
    <x:row r="159">
      <x:c r="E159" s="30"/>
    </x:row>
    <x:row r="160">
      <x:c r="E160" s="30"/>
    </x:row>
    <x:row r="161">
      <x:c r="E161" s="30"/>
    </x:row>
    <x:row r="162">
      <x:c r="E162" s="30"/>
    </x:row>
    <x:row r="163">
      <x:c r="E163" s="30"/>
    </x:row>
    <x:row r="164">
      <x:c r="E164" s="30"/>
    </x:row>
    <x:row r="165">
      <x:c r="E165" s="30"/>
    </x:row>
    <x:row r="166">
      <x:c r="E166" s="30"/>
    </x:row>
    <x:row r="167">
      <x:c r="E167" s="30"/>
    </x:row>
    <x:row r="168">
      <x:c r="E168" s="30"/>
    </x:row>
    <x:row r="169">
      <x:c r="E169" s="30"/>
    </x:row>
    <x:row r="170">
      <x:c r="E170" s="30"/>
    </x:row>
    <x:row r="171">
      <x:c r="E171" s="30"/>
    </x:row>
    <x:row r="172">
      <x:c r="E172" s="30"/>
    </x:row>
    <x:row r="173">
      <x:c r="E173" s="30"/>
    </x:row>
    <x:row r="174">
      <x:c r="E174" s="30"/>
    </x:row>
    <x:row r="175">
      <x:c r="E175" s="30"/>
    </x:row>
    <x:row r="176">
      <x:c r="E176" s="30"/>
    </x:row>
    <x:row r="177">
      <x:c r="E177" s="30"/>
    </x:row>
    <x:row r="178">
      <x:c r="E178" s="30"/>
    </x:row>
    <x:row r="179">
      <x:c r="E179" s="30"/>
    </x:row>
    <x:row r="180">
      <x:c r="E180" s="30"/>
    </x:row>
    <x:row r="181">
      <x:c r="E181" s="30"/>
    </x:row>
    <x:row r="182">
      <x:c r="E182" s="30"/>
    </x:row>
    <x:row r="183">
      <x:c r="E183" s="30"/>
    </x:row>
    <x:row r="184">
      <x:c r="E184" s="30"/>
    </x:row>
    <x:row r="185">
      <x:c r="E185" s="30"/>
    </x:row>
    <x:row r="186">
      <x:c r="E186" s="30"/>
    </x:row>
    <x:row r="187">
      <x:c r="E187" s="30"/>
    </x:row>
    <x:row r="188">
      <x:c r="E188" s="30"/>
    </x:row>
    <x:row r="189">
      <x:c r="E189" s="30"/>
    </x:row>
    <x:row r="190">
      <x:c r="E190" s="30"/>
    </x:row>
    <x:row r="191">
      <x:c r="E191" s="30"/>
    </x:row>
    <x:row r="192">
      <x:c r="E192" s="30"/>
    </x:row>
    <x:row r="193">
      <x:c r="E193" s="30"/>
    </x:row>
    <x:row r="194">
      <x:c r="E194" s="30"/>
    </x:row>
    <x:row r="195">
      <x:c r="E195" s="30"/>
    </x:row>
    <x:row r="196">
      <x:c r="E196" s="30"/>
    </x:row>
    <x:row r="197">
      <x:c r="E197" s="30"/>
    </x:row>
    <x:row r="198">
      <x:c r="E198" s="30"/>
    </x:row>
    <x:row r="199">
      <x:c r="E199" s="30"/>
    </x:row>
    <x:row r="200">
      <x:c r="E200" s="30"/>
    </x:row>
  </x:sheetData>
  <x:dataValidations count="1">
    <x:dataValidation type="list" sqref="G2:G200">
      <x:formula1>"QR,MULTI_QR,MANUAL_PLUS,MANUAL_MINUS,MANUAL_SET,DESHACER,DANADO_SET,SYNC"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5" hidden="0" customWidth="1"/>
    <x:col min="5" max="5" width="38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16" hidden="0" customWidth="1"/>
    <x:col min="11" max="11" width="14" hidden="0" customWidth="1"/>
    <x:col min="12" max="12" width="20" hidden="0" customWidth="1"/>
    <x:col min="13" max="13" width="20" hidden="0" customWidth="1"/>
    <x:col min="14" max="14" width="20" hidden="0" customWidth="1"/>
    <x:col min="15" max="15" width="14" hidden="0" customWidth="1"/>
    <x:col min="16" max="16" width="28" hidden="0" customWidth="1"/>
  </x:cols>
  <x:sheetData>
    <x:row r="1">
      <x:c r="A1" s="12" t="str">
        <x:v>ID_Inventario</x:v>
      </x:c>
      <x:c r="B1" s="12" t="str">
        <x:v>Intento</x:v>
      </x:c>
      <x:c r="C1" s="12" t="str">
        <x:v>Usuario</x:v>
      </x:c>
      <x:c r="D1" s="12" t="str">
        <x:v>Codigo</x:v>
      </x:c>
      <x:c r="E1" s="12" t="str">
        <x:v>Descripcion</x:v>
      </x:c>
      <x:c r="F1" s="12" t="str">
        <x:v>Cantidad_Fisica</x:v>
      </x:c>
      <x:c r="G1" s="12" t="str">
        <x:v>Cantidad_Danada</x:v>
      </x:c>
      <x:c r="H1" s="12" t="str">
        <x:v>Cantidad_Buena</x:v>
      </x:c>
      <x:c r="I1" s="12" t="str">
        <x:v>Origen_Registro</x:v>
      </x:c>
      <x:c r="J1" s="12" t="str">
        <x:v>Metodo_Conteo</x:v>
      </x:c>
      <x:c r="K1" s="12" t="str">
        <x:v>QR_Lecturas</x:v>
      </x:c>
      <x:c r="L1" s="12" t="str">
        <x:v>Ajuste_Manual_Neto</x:v>
      </x:c>
      <x:c r="M1" s="12" t="str">
        <x:v>Fecha_Primera</x:v>
      </x:c>
      <x:c r="N1" s="12" t="str">
        <x:v>Fecha_Ultima</x:v>
      </x:c>
      <x:c r="O1" s="12" t="str">
        <x:v>Estado_Sync</x:v>
      </x:c>
      <x:c r="P1" s="12" t="str">
        <x:v>Observacion</x:v>
      </x:c>
    </x:row>
    <x:row r="2">
      <x:c r="A2" t="str">
        <x:v>INV-2026-0001</x:v>
      </x:c>
      <x:c r="B2" t="n">
        <x:v>1</x:v>
      </x:c>
      <x:c r="C2" t="str">
        <x:v>usuario01</x:v>
      </x:c>
      <x:c r="D2" t="str">
        <x:v>THE60005</x:v>
      </x:c>
      <x:c r="E2" t="str">
        <x:v>CACAOSUYO LAKUNA 70%-70GR TAB</x:v>
      </x:c>
      <x:c r="F2" t="n">
        <x:v>12</x:v>
      </x:c>
      <x:c r="G2" t="n">
        <x:v>0</x:v>
      </x:c>
      <x:c r="H2" t="n">
        <x:f>MAX(F2-G2,0)</x:f>
        <x:v>12</x:v>
      </x:c>
      <x:c r="I2" t="str">
        <x:v>ASIGNADO</x:v>
      </x:c>
      <x:c r="J2" t="str">
        <x:v>MIXTO</x:v>
      </x:c>
      <x:c r="K2" t="n">
        <x:v>2</x:v>
      </x:c>
      <x:c r="L2" t="n">
        <x:v>10</x:v>
      </x:c>
      <x:c r="M2" s="30" t="n">
        <x:v>46286.416666666664</x:v>
      </x:c>
      <x:c r="N2" s="30" t="n">
        <x:v>46286.41675925926</x:v>
      </x:c>
      <x:c r="O2" t="str">
        <x:v>SYNC</x:v>
      </x:c>
      <x:c r="P2" t="str"/>
    </x:row>
    <x:row r="3">
      <x:c r="A3" t="str">
        <x:v>INV-2026-0001</x:v>
      </x:c>
      <x:c r="B3" t="n">
        <x:v>1</x:v>
      </x:c>
      <x:c r="C3" t="str">
        <x:v>usuario01</x:v>
      </x:c>
      <x:c r="D3" t="str">
        <x:v>KIA60005</x:v>
      </x:c>
      <x:c r="E3" t="str">
        <x:v>100% tableta de cacao pasta pura</x:v>
      </x:c>
      <x:c r="F3" t="n">
        <x:v>1</x:v>
      </x:c>
      <x:c r="G3" t="n">
        <x:v>1</x:v>
      </x:c>
      <x:c r="H3" t="n">
        <x:f>MAX(F3-G3,0)</x:f>
        <x:v>0</x:v>
      </x:c>
      <x:c r="I3" t="str">
        <x:v>ASIGNADO</x:v>
      </x:c>
      <x:c r="J3" t="str">
        <x:v>QR</x:v>
      </x:c>
      <x:c r="K3" t="n">
        <x:v>1</x:v>
      </x:c>
      <x:c r="L3" t="n">
        <x:v>0</x:v>
      </x:c>
      <x:c r="M3" s="30" t="n">
        <x:v>46286.41684027778</x:v>
      </x:c>
      <x:c r="N3" s="30" t="n">
        <x:v>46286.41689814815</x:v>
      </x:c>
      <x:c r="O3" t="str">
        <x:v>SYNC</x:v>
      </x:c>
      <x:c r="P3" t="str"/>
    </x:row>
    <x:row r="4">
      <x:c r="A4" t="str">
        <x:v>INV-2026-0001</x:v>
      </x:c>
      <x:c r="B4" t="n">
        <x:v>1</x:v>
      </x:c>
      <x:c r="C4" t="str">
        <x:v>usuario01</x:v>
      </x:c>
      <x:c r="D4" t="str">
        <x:v>ABC99999</x:v>
      </x:c>
      <x:c r="E4" t="str">
        <x:v>Codigo no identificado</x:v>
      </x:c>
      <x:c r="F4" t="n">
        <x:v>2</x:v>
      </x:c>
      <x:c r="G4" t="n">
        <x:v>0</x:v>
      </x:c>
      <x:c r="H4" t="n">
        <x:f>MAX(F4-G4,0)</x:f>
        <x:v>2</x:v>
      </x:c>
      <x:c r="I4" t="str">
        <x:v>DESCONOCIDO</x:v>
      </x:c>
      <x:c r="J4" t="str">
        <x:v>MIXTO</x:v>
      </x:c>
      <x:c r="K4" t="n">
        <x:v>1</x:v>
      </x:c>
      <x:c r="L4" t="n">
        <x:v>1</x:v>
      </x:c>
      <x:c r="M4" s="30" t="n">
        <x:v>46286.41805555556</x:v>
      </x:c>
      <x:c r="N4" s="30" t="n">
        <x:v>46286.41810185185</x:v>
      </x:c>
      <x:c r="O4" t="str">
        <x:v>SYNC</x:v>
      </x:c>
      <x:c r="P4" t="str"/>
    </x:row>
    <x:row r="5">
      <x:c r="H5" t="n">
        <x:f>MAX(F5-G5,0)</x:f>
        <x:v>0</x:v>
      </x:c>
      <x:c r="M5" s="30"/>
      <x:c r="N5" s="30"/>
    </x:row>
    <x:row r="6">
      <x:c r="H6" t="n">
        <x:f>MAX(F6-G6,0)</x:f>
        <x:v>0</x:v>
      </x:c>
      <x:c r="M6" s="30"/>
      <x:c r="N6" s="30"/>
    </x:row>
    <x:row r="7">
      <x:c r="H7" t="n">
        <x:f>MAX(F7-G7,0)</x:f>
        <x:v>0</x:v>
      </x:c>
      <x:c r="M7" s="30"/>
      <x:c r="N7" s="30"/>
    </x:row>
    <x:row r="8">
      <x:c r="H8" t="n">
        <x:f>MAX(F8-G8,0)</x:f>
        <x:v>0</x:v>
      </x:c>
      <x:c r="M8" s="30"/>
      <x:c r="N8" s="30"/>
    </x:row>
    <x:row r="9">
      <x:c r="H9" t="n">
        <x:f>MAX(F9-G9,0)</x:f>
        <x:v>0</x:v>
      </x:c>
      <x:c r="M9" s="30"/>
      <x:c r="N9" s="30"/>
    </x:row>
    <x:row r="10">
      <x:c r="H10" t="n">
        <x:f>MAX(F10-G10,0)</x:f>
        <x:v>0</x:v>
      </x:c>
      <x:c r="M10" s="30"/>
      <x:c r="N10" s="30"/>
    </x:row>
    <x:row r="11">
      <x:c r="H11" t="n">
        <x:f>MAX(F11-G11,0)</x:f>
        <x:v>0</x:v>
      </x:c>
      <x:c r="M11" s="30"/>
      <x:c r="N11" s="30"/>
    </x:row>
    <x:row r="12">
      <x:c r="H12" t="n">
        <x:f>MAX(F12-G12,0)</x:f>
        <x:v>0</x:v>
      </x:c>
      <x:c r="M12" s="30"/>
      <x:c r="N12" s="30"/>
    </x:row>
    <x:row r="13">
      <x:c r="H13" t="n">
        <x:f>MAX(F13-G13,0)</x:f>
        <x:v>0</x:v>
      </x:c>
      <x:c r="M13" s="30"/>
      <x:c r="N13" s="30"/>
    </x:row>
    <x:row r="14">
      <x:c r="H14" t="n">
        <x:f>MAX(F14-G14,0)</x:f>
        <x:v>0</x:v>
      </x:c>
      <x:c r="M14" s="30"/>
      <x:c r="N14" s="30"/>
    </x:row>
    <x:row r="15">
      <x:c r="H15" t="n">
        <x:f>MAX(F15-G15,0)</x:f>
        <x:v>0</x:v>
      </x:c>
      <x:c r="M15" s="30"/>
      <x:c r="N15" s="30"/>
    </x:row>
    <x:row r="16">
      <x:c r="H16" t="n">
        <x:f>MAX(F16-G16,0)</x:f>
        <x:v>0</x:v>
      </x:c>
      <x:c r="M16" s="30"/>
      <x:c r="N16" s="30"/>
    </x:row>
    <x:row r="17">
      <x:c r="H17" t="n">
        <x:f>MAX(F17-G17,0)</x:f>
        <x:v>0</x:v>
      </x:c>
      <x:c r="M17" s="30"/>
      <x:c r="N17" s="30"/>
    </x:row>
    <x:row r="18">
      <x:c r="H18" t="n">
        <x:f>MAX(F18-G18,0)</x:f>
        <x:v>0</x:v>
      </x:c>
      <x:c r="M18" s="30"/>
      <x:c r="N18" s="30"/>
    </x:row>
    <x:row r="19">
      <x:c r="H19" t="n">
        <x:f>MAX(F19-G19,0)</x:f>
        <x:v>0</x:v>
      </x:c>
      <x:c r="M19" s="30"/>
      <x:c r="N19" s="30"/>
    </x:row>
    <x:row r="20">
      <x:c r="H20" t="n">
        <x:f>MAX(F20-G20,0)</x:f>
        <x:v>0</x:v>
      </x:c>
      <x:c r="M20" s="30"/>
      <x:c r="N20" s="30"/>
    </x:row>
    <x:row r="21">
      <x:c r="H21" t="n">
        <x:f>MAX(F21-G21,0)</x:f>
        <x:v>0</x:v>
      </x:c>
      <x:c r="M21" s="30"/>
      <x:c r="N21" s="30"/>
    </x:row>
    <x:row r="22">
      <x:c r="H22" t="n">
        <x:f>MAX(F22-G22,0)</x:f>
        <x:v>0</x:v>
      </x:c>
      <x:c r="M22" s="30"/>
      <x:c r="N22" s="30"/>
    </x:row>
    <x:row r="23">
      <x:c r="H23" t="n">
        <x:f>MAX(F23-G23,0)</x:f>
        <x:v>0</x:v>
      </x:c>
      <x:c r="M23" s="30"/>
      <x:c r="N23" s="30"/>
    </x:row>
    <x:row r="24">
      <x:c r="H24" t="n">
        <x:f>MAX(F24-G24,0)</x:f>
        <x:v>0</x:v>
      </x:c>
      <x:c r="M24" s="30"/>
      <x:c r="N24" s="30"/>
    </x:row>
    <x:row r="25">
      <x:c r="H25" t="n">
        <x:f>MAX(F25-G25,0)</x:f>
        <x:v>0</x:v>
      </x:c>
      <x:c r="M25" s="30"/>
      <x:c r="N25" s="30"/>
    </x:row>
    <x:row r="26">
      <x:c r="H26" t="n">
        <x:f>MAX(F26-G26,0)</x:f>
        <x:v>0</x:v>
      </x:c>
      <x:c r="M26" s="30"/>
      <x:c r="N26" s="30"/>
    </x:row>
    <x:row r="27">
      <x:c r="H27" t="n">
        <x:f>MAX(F27-G27,0)</x:f>
        <x:v>0</x:v>
      </x:c>
      <x:c r="M27" s="30"/>
      <x:c r="N27" s="30"/>
    </x:row>
    <x:row r="28">
      <x:c r="H28" t="n">
        <x:f>MAX(F28-G28,0)</x:f>
        <x:v>0</x:v>
      </x:c>
      <x:c r="M28" s="30"/>
      <x:c r="N28" s="30"/>
    </x:row>
    <x:row r="29">
      <x:c r="H29" t="n">
        <x:f>MAX(F29-G29,0)</x:f>
        <x:v>0</x:v>
      </x:c>
      <x:c r="M29" s="30"/>
      <x:c r="N29" s="30"/>
    </x:row>
    <x:row r="30">
      <x:c r="H30" t="n">
        <x:f>MAX(F30-G30,0)</x:f>
        <x:v>0</x:v>
      </x:c>
      <x:c r="M30" s="30"/>
      <x:c r="N30" s="30"/>
    </x:row>
    <x:row r="31">
      <x:c r="H31" t="n">
        <x:f>MAX(F31-G31,0)</x:f>
        <x:v>0</x:v>
      </x:c>
      <x:c r="M31" s="30"/>
      <x:c r="N31" s="30"/>
    </x:row>
    <x:row r="32">
      <x:c r="H32" t="n">
        <x:f>MAX(F32-G32,0)</x:f>
        <x:v>0</x:v>
      </x:c>
      <x:c r="M32" s="30"/>
      <x:c r="N32" s="30"/>
    </x:row>
    <x:row r="33">
      <x:c r="H33" t="n">
        <x:f>MAX(F33-G33,0)</x:f>
        <x:v>0</x:v>
      </x:c>
      <x:c r="M33" s="30"/>
      <x:c r="N33" s="30"/>
    </x:row>
    <x:row r="34">
      <x:c r="H34" t="n">
        <x:f>MAX(F34-G34,0)</x:f>
        <x:v>0</x:v>
      </x:c>
      <x:c r="M34" s="30"/>
      <x:c r="N34" s="30"/>
    </x:row>
    <x:row r="35">
      <x:c r="H35" t="n">
        <x:f>MAX(F35-G35,0)</x:f>
        <x:v>0</x:v>
      </x:c>
      <x:c r="M35" s="30"/>
      <x:c r="N35" s="30"/>
    </x:row>
    <x:row r="36">
      <x:c r="H36" t="n">
        <x:f>MAX(F36-G36,0)</x:f>
        <x:v>0</x:v>
      </x:c>
      <x:c r="M36" s="30"/>
      <x:c r="N36" s="30"/>
    </x:row>
    <x:row r="37">
      <x:c r="H37" t="n">
        <x:f>MAX(F37-G37,0)</x:f>
        <x:v>0</x:v>
      </x:c>
      <x:c r="M37" s="30"/>
      <x:c r="N37" s="30"/>
    </x:row>
    <x:row r="38">
      <x:c r="H38" t="n">
        <x:f>MAX(F38-G38,0)</x:f>
        <x:v>0</x:v>
      </x:c>
      <x:c r="M38" s="30"/>
      <x:c r="N38" s="30"/>
    </x:row>
    <x:row r="39">
      <x:c r="H39" t="n">
        <x:f>MAX(F39-G39,0)</x:f>
        <x:v>0</x:v>
      </x:c>
      <x:c r="M39" s="30"/>
      <x:c r="N39" s="30"/>
    </x:row>
    <x:row r="40">
      <x:c r="H40" t="n">
        <x:f>MAX(F40-G40,0)</x:f>
        <x:v>0</x:v>
      </x:c>
      <x:c r="M40" s="30"/>
      <x:c r="N40" s="30"/>
    </x:row>
    <x:row r="41">
      <x:c r="H41" t="n">
        <x:f>MAX(F41-G41,0)</x:f>
        <x:v>0</x:v>
      </x:c>
      <x:c r="M41" s="30"/>
      <x:c r="N41" s="30"/>
    </x:row>
    <x:row r="42">
      <x:c r="H42" t="n">
        <x:f>MAX(F42-G42,0)</x:f>
        <x:v>0</x:v>
      </x:c>
      <x:c r="M42" s="30"/>
      <x:c r="N42" s="30"/>
    </x:row>
    <x:row r="43">
      <x:c r="H43" t="n">
        <x:f>MAX(F43-G43,0)</x:f>
        <x:v>0</x:v>
      </x:c>
      <x:c r="M43" s="30"/>
      <x:c r="N43" s="30"/>
    </x:row>
    <x:row r="44">
      <x:c r="H44" t="n">
        <x:f>MAX(F44-G44,0)</x:f>
        <x:v>0</x:v>
      </x:c>
      <x:c r="M44" s="30"/>
      <x:c r="N44" s="30"/>
    </x:row>
    <x:row r="45">
      <x:c r="H45" t="n">
        <x:f>MAX(F45-G45,0)</x:f>
        <x:v>0</x:v>
      </x:c>
      <x:c r="M45" s="30"/>
      <x:c r="N45" s="30"/>
    </x:row>
    <x:row r="46">
      <x:c r="H46" t="n">
        <x:f>MAX(F46-G46,0)</x:f>
        <x:v>0</x:v>
      </x:c>
      <x:c r="M46" s="30"/>
      <x:c r="N46" s="30"/>
    </x:row>
    <x:row r="47">
      <x:c r="H47" t="n">
        <x:f>MAX(F47-G47,0)</x:f>
        <x:v>0</x:v>
      </x:c>
      <x:c r="M47" s="30"/>
      <x:c r="N47" s="30"/>
    </x:row>
    <x:row r="48">
      <x:c r="H48" t="n">
        <x:f>MAX(F48-G48,0)</x:f>
        <x:v>0</x:v>
      </x:c>
      <x:c r="M48" s="30"/>
      <x:c r="N48" s="30"/>
    </x:row>
    <x:row r="49">
      <x:c r="H49" t="n">
        <x:f>MAX(F49-G49,0)</x:f>
        <x:v>0</x:v>
      </x:c>
      <x:c r="M49" s="30"/>
      <x:c r="N49" s="30"/>
    </x:row>
    <x:row r="50">
      <x:c r="H50" t="n">
        <x:f>MAX(F50-G50,0)</x:f>
        <x:v>0</x:v>
      </x:c>
      <x:c r="M50" s="30"/>
      <x:c r="N50" s="30"/>
    </x:row>
    <x:row r="51">
      <x:c r="H51" t="n">
        <x:f>MAX(F51-G51,0)</x:f>
        <x:v>0</x:v>
      </x:c>
      <x:c r="M51" s="30"/>
      <x:c r="N51" s="30"/>
    </x:row>
    <x:row r="52">
      <x:c r="H52" t="n">
        <x:f>MAX(F52-G52,0)</x:f>
        <x:v>0</x:v>
      </x:c>
      <x:c r="M52" s="30"/>
      <x:c r="N52" s="30"/>
    </x:row>
    <x:row r="53">
      <x:c r="H53" t="n">
        <x:f>MAX(F53-G53,0)</x:f>
        <x:v>0</x:v>
      </x:c>
      <x:c r="M53" s="30"/>
      <x:c r="N53" s="30"/>
    </x:row>
    <x:row r="54">
      <x:c r="H54" t="n">
        <x:f>MAX(F54-G54,0)</x:f>
        <x:v>0</x:v>
      </x:c>
      <x:c r="M54" s="30"/>
      <x:c r="N54" s="30"/>
    </x:row>
    <x:row r="55">
      <x:c r="H55" t="n">
        <x:f>MAX(F55-G55,0)</x:f>
        <x:v>0</x:v>
      </x:c>
      <x:c r="M55" s="30"/>
      <x:c r="N55" s="30"/>
    </x:row>
    <x:row r="56">
      <x:c r="H56" t="n">
        <x:f>MAX(F56-G56,0)</x:f>
        <x:v>0</x:v>
      </x:c>
      <x:c r="M56" s="30"/>
      <x:c r="N56" s="30"/>
    </x:row>
    <x:row r="57">
      <x:c r="H57" t="n">
        <x:f>MAX(F57-G57,0)</x:f>
        <x:v>0</x:v>
      </x:c>
      <x:c r="M57" s="30"/>
      <x:c r="N57" s="30"/>
    </x:row>
    <x:row r="58">
      <x:c r="H58" t="n">
        <x:f>MAX(F58-G58,0)</x:f>
        <x:v>0</x:v>
      </x:c>
      <x:c r="M58" s="30"/>
      <x:c r="N58" s="30"/>
    </x:row>
    <x:row r="59">
      <x:c r="H59" t="n">
        <x:f>MAX(F59-G59,0)</x:f>
        <x:v>0</x:v>
      </x:c>
      <x:c r="M59" s="30"/>
      <x:c r="N59" s="30"/>
    </x:row>
    <x:row r="60">
      <x:c r="H60" t="n">
        <x:f>MAX(F60-G60,0)</x:f>
        <x:v>0</x:v>
      </x:c>
      <x:c r="M60" s="30"/>
      <x:c r="N60" s="30"/>
    </x:row>
    <x:row r="61">
      <x:c r="H61" t="n">
        <x:f>MAX(F61-G61,0)</x:f>
        <x:v>0</x:v>
      </x:c>
      <x:c r="M61" s="30"/>
      <x:c r="N61" s="30"/>
    </x:row>
    <x:row r="62">
      <x:c r="H62" t="n">
        <x:f>MAX(F62-G62,0)</x:f>
        <x:v>0</x:v>
      </x:c>
      <x:c r="M62" s="30"/>
      <x:c r="N62" s="30"/>
    </x:row>
    <x:row r="63">
      <x:c r="H63" t="n">
        <x:f>MAX(F63-G63,0)</x:f>
        <x:v>0</x:v>
      </x:c>
      <x:c r="M63" s="30"/>
      <x:c r="N63" s="30"/>
    </x:row>
    <x:row r="64">
      <x:c r="H64" t="n">
        <x:f>MAX(F64-G64,0)</x:f>
        <x:v>0</x:v>
      </x:c>
      <x:c r="M64" s="30"/>
      <x:c r="N64" s="30"/>
    </x:row>
    <x:row r="65">
      <x:c r="H65" t="n">
        <x:f>MAX(F65-G65,0)</x:f>
        <x:v>0</x:v>
      </x:c>
      <x:c r="M65" s="30"/>
      <x:c r="N65" s="30"/>
    </x:row>
    <x:row r="66">
      <x:c r="H66" t="n">
        <x:f>MAX(F66-G66,0)</x:f>
        <x:v>0</x:v>
      </x:c>
      <x:c r="M66" s="30"/>
      <x:c r="N66" s="30"/>
    </x:row>
    <x:row r="67">
      <x:c r="H67" t="n">
        <x:f>MAX(F67-G67,0)</x:f>
        <x:v>0</x:v>
      </x:c>
      <x:c r="M67" s="30"/>
      <x:c r="N67" s="30"/>
    </x:row>
    <x:row r="68">
      <x:c r="H68" t="n">
        <x:f>MAX(F68-G68,0)</x:f>
        <x:v>0</x:v>
      </x:c>
      <x:c r="M68" s="30"/>
      <x:c r="N68" s="30"/>
    </x:row>
    <x:row r="69">
      <x:c r="H69" t="n">
        <x:f>MAX(F69-G69,0)</x:f>
        <x:v>0</x:v>
      </x:c>
      <x:c r="M69" s="30"/>
      <x:c r="N69" s="30"/>
    </x:row>
    <x:row r="70">
      <x:c r="H70" t="n">
        <x:f>MAX(F70-G70,0)</x:f>
        <x:v>0</x:v>
      </x:c>
      <x:c r="M70" s="30"/>
      <x:c r="N70" s="30"/>
    </x:row>
    <x:row r="71">
      <x:c r="H71" t="n">
        <x:f>MAX(F71-G71,0)</x:f>
        <x:v>0</x:v>
      </x:c>
      <x:c r="M71" s="30"/>
      <x:c r="N71" s="30"/>
    </x:row>
    <x:row r="72">
      <x:c r="H72" t="n">
        <x:f>MAX(F72-G72,0)</x:f>
        <x:v>0</x:v>
      </x:c>
      <x:c r="M72" s="30"/>
      <x:c r="N72" s="30"/>
    </x:row>
    <x:row r="73">
      <x:c r="H73" t="n">
        <x:f>MAX(F73-G73,0)</x:f>
        <x:v>0</x:v>
      </x:c>
      <x:c r="M73" s="30"/>
      <x:c r="N73" s="30"/>
    </x:row>
    <x:row r="74">
      <x:c r="H74" t="n">
        <x:f>MAX(F74-G74,0)</x:f>
        <x:v>0</x:v>
      </x:c>
      <x:c r="M74" s="30"/>
      <x:c r="N74" s="30"/>
    </x:row>
    <x:row r="75">
      <x:c r="H75" t="n">
        <x:f>MAX(F75-G75,0)</x:f>
        <x:v>0</x:v>
      </x:c>
      <x:c r="M75" s="30"/>
      <x:c r="N75" s="30"/>
    </x:row>
    <x:row r="76">
      <x:c r="H76" t="n">
        <x:f>MAX(F76-G76,0)</x:f>
        <x:v>0</x:v>
      </x:c>
      <x:c r="M76" s="30"/>
      <x:c r="N76" s="30"/>
    </x:row>
    <x:row r="77">
      <x:c r="H77" t="n">
        <x:f>MAX(F77-G77,0)</x:f>
        <x:v>0</x:v>
      </x:c>
      <x:c r="M77" s="30"/>
      <x:c r="N77" s="30"/>
    </x:row>
    <x:row r="78">
      <x:c r="H78" t="n">
        <x:f>MAX(F78-G78,0)</x:f>
        <x:v>0</x:v>
      </x:c>
      <x:c r="M78" s="30"/>
      <x:c r="N78" s="30"/>
    </x:row>
    <x:row r="79">
      <x:c r="H79" t="n">
        <x:f>MAX(F79-G79,0)</x:f>
        <x:v>0</x:v>
      </x:c>
      <x:c r="M79" s="30"/>
      <x:c r="N79" s="30"/>
    </x:row>
    <x:row r="80">
      <x:c r="H80" t="n">
        <x:f>MAX(F80-G80,0)</x:f>
        <x:v>0</x:v>
      </x:c>
      <x:c r="M80" s="30"/>
      <x:c r="N80" s="30"/>
    </x:row>
    <x:row r="81">
      <x:c r="H81" t="n">
        <x:f>MAX(F81-G81,0)</x:f>
        <x:v>0</x:v>
      </x:c>
      <x:c r="M81" s="30"/>
      <x:c r="N81" s="30"/>
    </x:row>
    <x:row r="82">
      <x:c r="H82" t="n">
        <x:f>MAX(F82-G82,0)</x:f>
        <x:v>0</x:v>
      </x:c>
      <x:c r="M82" s="30"/>
      <x:c r="N82" s="30"/>
    </x:row>
    <x:row r="83">
      <x:c r="H83" t="n">
        <x:f>MAX(F83-G83,0)</x:f>
        <x:v>0</x:v>
      </x:c>
      <x:c r="M83" s="30"/>
      <x:c r="N83" s="30"/>
    </x:row>
    <x:row r="84">
      <x:c r="H84" t="n">
        <x:f>MAX(F84-G84,0)</x:f>
        <x:v>0</x:v>
      </x:c>
      <x:c r="M84" s="30"/>
      <x:c r="N84" s="30"/>
    </x:row>
    <x:row r="85">
      <x:c r="H85" t="n">
        <x:f>MAX(F85-G85,0)</x:f>
        <x:v>0</x:v>
      </x:c>
      <x:c r="M85" s="30"/>
      <x:c r="N85" s="30"/>
    </x:row>
    <x:row r="86">
      <x:c r="H86" t="n">
        <x:f>MAX(F86-G86,0)</x:f>
        <x:v>0</x:v>
      </x:c>
      <x:c r="M86" s="30"/>
      <x:c r="N86" s="30"/>
    </x:row>
    <x:row r="87">
      <x:c r="H87" t="n">
        <x:f>MAX(F87-G87,0)</x:f>
        <x:v>0</x:v>
      </x:c>
      <x:c r="M87" s="30"/>
      <x:c r="N87" s="30"/>
    </x:row>
    <x:row r="88">
      <x:c r="H88" t="n">
        <x:f>MAX(F88-G88,0)</x:f>
        <x:v>0</x:v>
      </x:c>
      <x:c r="M88" s="30"/>
      <x:c r="N88" s="30"/>
    </x:row>
    <x:row r="89">
      <x:c r="H89" t="n">
        <x:f>MAX(F89-G89,0)</x:f>
        <x:v>0</x:v>
      </x:c>
      <x:c r="M89" s="30"/>
      <x:c r="N89" s="30"/>
    </x:row>
    <x:row r="90">
      <x:c r="H90" t="n">
        <x:f>MAX(F90-G90,0)</x:f>
        <x:v>0</x:v>
      </x:c>
      <x:c r="M90" s="30"/>
      <x:c r="N90" s="30"/>
    </x:row>
    <x:row r="91">
      <x:c r="H91" t="n">
        <x:f>MAX(F91-G91,0)</x:f>
        <x:v>0</x:v>
      </x:c>
      <x:c r="M91" s="30"/>
      <x:c r="N91" s="30"/>
    </x:row>
    <x:row r="92">
      <x:c r="H92" t="n">
        <x:f>MAX(F92-G92,0)</x:f>
        <x:v>0</x:v>
      </x:c>
      <x:c r="M92" s="30"/>
      <x:c r="N92" s="30"/>
    </x:row>
    <x:row r="93">
      <x:c r="H93" t="n">
        <x:f>MAX(F93-G93,0)</x:f>
        <x:v>0</x:v>
      </x:c>
      <x:c r="M93" s="30"/>
      <x:c r="N93" s="30"/>
    </x:row>
    <x:row r="94">
      <x:c r="H94" t="n">
        <x:f>MAX(F94-G94,0)</x:f>
        <x:v>0</x:v>
      </x:c>
      <x:c r="M94" s="30"/>
      <x:c r="N94" s="30"/>
    </x:row>
    <x:row r="95">
      <x:c r="H95" t="n">
        <x:f>MAX(F95-G95,0)</x:f>
        <x:v>0</x:v>
      </x:c>
      <x:c r="M95" s="30"/>
      <x:c r="N95" s="30"/>
    </x:row>
    <x:row r="96">
      <x:c r="H96" t="n">
        <x:f>MAX(F96-G96,0)</x:f>
        <x:v>0</x:v>
      </x:c>
      <x:c r="M96" s="30"/>
      <x:c r="N96" s="30"/>
    </x:row>
    <x:row r="97">
      <x:c r="H97" t="n">
        <x:f>MAX(F97-G97,0)</x:f>
        <x:v>0</x:v>
      </x:c>
      <x:c r="M97" s="30"/>
      <x:c r="N97" s="30"/>
    </x:row>
    <x:row r="98">
      <x:c r="H98" t="n">
        <x:f>MAX(F98-G98,0)</x:f>
        <x:v>0</x:v>
      </x:c>
      <x:c r="M98" s="30"/>
      <x:c r="N98" s="30"/>
    </x:row>
    <x:row r="99">
      <x:c r="H99" t="n">
        <x:f>MAX(F99-G99,0)</x:f>
        <x:v>0</x:v>
      </x:c>
      <x:c r="M99" s="30"/>
      <x:c r="N99" s="30"/>
    </x:row>
    <x:row r="100">
      <x:c r="H100" t="n">
        <x:f>MAX(F100-G100,0)</x:f>
        <x:v>0</x:v>
      </x:c>
      <x:c r="M100" s="30"/>
      <x:c r="N100" s="30"/>
    </x:row>
    <x:row r="101">
      <x:c r="H101" t="n">
        <x:f>MAX(F101-G101,0)</x:f>
        <x:v>0</x:v>
      </x:c>
      <x:c r="M101" s="30"/>
      <x:c r="N101" s="30"/>
    </x:row>
    <x:row r="102">
      <x:c r="H102" t="n">
        <x:f>MAX(F102-G102,0)</x:f>
        <x:v>0</x:v>
      </x:c>
      <x:c r="M102" s="30"/>
      <x:c r="N102" s="30"/>
    </x:row>
    <x:row r="103">
      <x:c r="H103" t="n">
        <x:f>MAX(F103-G103,0)</x:f>
        <x:v>0</x:v>
      </x:c>
      <x:c r="M103" s="30"/>
      <x:c r="N103" s="30"/>
    </x:row>
    <x:row r="104">
      <x:c r="H104" t="n">
        <x:f>MAX(F104-G104,0)</x:f>
        <x:v>0</x:v>
      </x:c>
      <x:c r="M104" s="30"/>
      <x:c r="N104" s="30"/>
    </x:row>
    <x:row r="105">
      <x:c r="H105" t="n">
        <x:f>MAX(F105-G105,0)</x:f>
        <x:v>0</x:v>
      </x:c>
      <x:c r="M105" s="30"/>
      <x:c r="N105" s="30"/>
    </x:row>
    <x:row r="106">
      <x:c r="H106" t="n">
        <x:f>MAX(F106-G106,0)</x:f>
        <x:v>0</x:v>
      </x:c>
      <x:c r="M106" s="30"/>
      <x:c r="N106" s="30"/>
    </x:row>
    <x:row r="107">
      <x:c r="H107" t="n">
        <x:f>MAX(F107-G107,0)</x:f>
        <x:v>0</x:v>
      </x:c>
      <x:c r="M107" s="30"/>
      <x:c r="N107" s="30"/>
    </x:row>
    <x:row r="108">
      <x:c r="H108" t="n">
        <x:f>MAX(F108-G108,0)</x:f>
        <x:v>0</x:v>
      </x:c>
      <x:c r="M108" s="30"/>
      <x:c r="N108" s="30"/>
    </x:row>
    <x:row r="109">
      <x:c r="H109" t="n">
        <x:f>MAX(F109-G109,0)</x:f>
        <x:v>0</x:v>
      </x:c>
      <x:c r="M109" s="30"/>
      <x:c r="N109" s="30"/>
    </x:row>
    <x:row r="110">
      <x:c r="H110" t="n">
        <x:f>MAX(F110-G110,0)</x:f>
        <x:v>0</x:v>
      </x:c>
      <x:c r="M110" s="30"/>
      <x:c r="N110" s="30"/>
    </x:row>
    <x:row r="111">
      <x:c r="H111" t="n">
        <x:f>MAX(F111-G111,0)</x:f>
        <x:v>0</x:v>
      </x:c>
      <x:c r="M111" s="30"/>
      <x:c r="N111" s="30"/>
    </x:row>
    <x:row r="112">
      <x:c r="H112" t="n">
        <x:f>MAX(F112-G112,0)</x:f>
        <x:v>0</x:v>
      </x:c>
      <x:c r="M112" s="30"/>
      <x:c r="N112" s="30"/>
    </x:row>
    <x:row r="113">
      <x:c r="H113" t="n">
        <x:f>MAX(F113-G113,0)</x:f>
        <x:v>0</x:v>
      </x:c>
      <x:c r="M113" s="30"/>
      <x:c r="N113" s="30"/>
    </x:row>
    <x:row r="114">
      <x:c r="H114" t="n">
        <x:f>MAX(F114-G114,0)</x:f>
        <x:v>0</x:v>
      </x:c>
      <x:c r="M114" s="30"/>
      <x:c r="N114" s="30"/>
    </x:row>
    <x:row r="115">
      <x:c r="H115" t="n">
        <x:f>MAX(F115-G115,0)</x:f>
        <x:v>0</x:v>
      </x:c>
      <x:c r="M115" s="30"/>
      <x:c r="N115" s="30"/>
    </x:row>
    <x:row r="116">
      <x:c r="H116" t="n">
        <x:f>MAX(F116-G116,0)</x:f>
        <x:v>0</x:v>
      </x:c>
      <x:c r="M116" s="30"/>
      <x:c r="N116" s="30"/>
    </x:row>
    <x:row r="117">
      <x:c r="H117" t="n">
        <x:f>MAX(F117-G117,0)</x:f>
        <x:v>0</x:v>
      </x:c>
      <x:c r="M117" s="30"/>
      <x:c r="N117" s="30"/>
    </x:row>
    <x:row r="118">
      <x:c r="H118" t="n">
        <x:f>MAX(F118-G118,0)</x:f>
        <x:v>0</x:v>
      </x:c>
      <x:c r="M118" s="30"/>
      <x:c r="N118" s="30"/>
    </x:row>
    <x:row r="119">
      <x:c r="H119" t="n">
        <x:f>MAX(F119-G119,0)</x:f>
        <x:v>0</x:v>
      </x:c>
      <x:c r="M119" s="30"/>
      <x:c r="N119" s="30"/>
    </x:row>
    <x:row r="120">
      <x:c r="H120" t="n">
        <x:f>MAX(F120-G120,0)</x:f>
        <x:v>0</x:v>
      </x:c>
      <x:c r="M120" s="30"/>
      <x:c r="N120" s="30"/>
    </x:row>
    <x:row r="121">
      <x:c r="H121" t="n">
        <x:f>MAX(F121-G121,0)</x:f>
        <x:v>0</x:v>
      </x:c>
      <x:c r="M121" s="30"/>
      <x:c r="N121" s="30"/>
    </x:row>
    <x:row r="122">
      <x:c r="H122" t="n">
        <x:f>MAX(F122-G122,0)</x:f>
        <x:v>0</x:v>
      </x:c>
      <x:c r="M122" s="30"/>
      <x:c r="N122" s="30"/>
    </x:row>
    <x:row r="123">
      <x:c r="H123" t="n">
        <x:f>MAX(F123-G123,0)</x:f>
        <x:v>0</x:v>
      </x:c>
      <x:c r="M123" s="30"/>
      <x:c r="N123" s="30"/>
    </x:row>
    <x:row r="124">
      <x:c r="H124" t="n">
        <x:f>MAX(F124-G124,0)</x:f>
        <x:v>0</x:v>
      </x:c>
      <x:c r="M124" s="30"/>
      <x:c r="N124" s="30"/>
    </x:row>
    <x:row r="125">
      <x:c r="H125" t="n">
        <x:f>MAX(F125-G125,0)</x:f>
        <x:v>0</x:v>
      </x:c>
      <x:c r="M125" s="30"/>
      <x:c r="N125" s="30"/>
    </x:row>
    <x:row r="126">
      <x:c r="H126" t="n">
        <x:f>MAX(F126-G126,0)</x:f>
        <x:v>0</x:v>
      </x:c>
      <x:c r="M126" s="30"/>
      <x:c r="N126" s="30"/>
    </x:row>
    <x:row r="127">
      <x:c r="H127" t="n">
        <x:f>MAX(F127-G127,0)</x:f>
        <x:v>0</x:v>
      </x:c>
      <x:c r="M127" s="30"/>
      <x:c r="N127" s="30"/>
    </x:row>
    <x:row r="128">
      <x:c r="H128" t="n">
        <x:f>MAX(F128-G128,0)</x:f>
        <x:v>0</x:v>
      </x:c>
      <x:c r="M128" s="30"/>
      <x:c r="N128" s="30"/>
    </x:row>
    <x:row r="129">
      <x:c r="H129" t="n">
        <x:f>MAX(F129-G129,0)</x:f>
        <x:v>0</x:v>
      </x:c>
      <x:c r="M129" s="30"/>
      <x:c r="N129" s="30"/>
    </x:row>
    <x:row r="130">
      <x:c r="H130" t="n">
        <x:f>MAX(F130-G130,0)</x:f>
        <x:v>0</x:v>
      </x:c>
      <x:c r="M130" s="30"/>
      <x:c r="N130" s="30"/>
    </x:row>
    <x:row r="131">
      <x:c r="H131" t="n">
        <x:f>MAX(F131-G131,0)</x:f>
        <x:v>0</x:v>
      </x:c>
      <x:c r="M131" s="30"/>
      <x:c r="N131" s="30"/>
    </x:row>
    <x:row r="132">
      <x:c r="H132" t="n">
        <x:f>MAX(F132-G132,0)</x:f>
        <x:v>0</x:v>
      </x:c>
      <x:c r="M132" s="30"/>
      <x:c r="N132" s="30"/>
    </x:row>
    <x:row r="133">
      <x:c r="H133" t="n">
        <x:f>MAX(F133-G133,0)</x:f>
        <x:v>0</x:v>
      </x:c>
      <x:c r="M133" s="30"/>
      <x:c r="N133" s="30"/>
    </x:row>
    <x:row r="134">
      <x:c r="H134" t="n">
        <x:f>MAX(F134-G134,0)</x:f>
        <x:v>0</x:v>
      </x:c>
      <x:c r="M134" s="30"/>
      <x:c r="N134" s="30"/>
    </x:row>
    <x:row r="135">
      <x:c r="H135" t="n">
        <x:f>MAX(F135-G135,0)</x:f>
        <x:v>0</x:v>
      </x:c>
      <x:c r="M135" s="30"/>
      <x:c r="N135" s="30"/>
    </x:row>
    <x:row r="136">
      <x:c r="H136" t="n">
        <x:f>MAX(F136-G136,0)</x:f>
        <x:v>0</x:v>
      </x:c>
      <x:c r="M136" s="30"/>
      <x:c r="N136" s="30"/>
    </x:row>
    <x:row r="137">
      <x:c r="H137" t="n">
        <x:f>MAX(F137-G137,0)</x:f>
        <x:v>0</x:v>
      </x:c>
      <x:c r="M137" s="30"/>
      <x:c r="N137" s="30"/>
    </x:row>
    <x:row r="138">
      <x:c r="H138" t="n">
        <x:f>MAX(F138-G138,0)</x:f>
        <x:v>0</x:v>
      </x:c>
      <x:c r="M138" s="30"/>
      <x:c r="N138" s="30"/>
    </x:row>
    <x:row r="139">
      <x:c r="H139" t="n">
        <x:f>MAX(F139-G139,0)</x:f>
        <x:v>0</x:v>
      </x:c>
      <x:c r="M139" s="30"/>
      <x:c r="N139" s="30"/>
    </x:row>
    <x:row r="140">
      <x:c r="H140" t="n">
        <x:f>MAX(F140-G140,0)</x:f>
        <x:v>0</x:v>
      </x:c>
      <x:c r="M140" s="30"/>
      <x:c r="N140" s="30"/>
    </x:row>
    <x:row r="141">
      <x:c r="H141" t="n">
        <x:f>MAX(F141-G141,0)</x:f>
        <x:v>0</x:v>
      </x:c>
      <x:c r="M141" s="30"/>
      <x:c r="N141" s="30"/>
    </x:row>
    <x:row r="142">
      <x:c r="H142" t="n">
        <x:f>MAX(F142-G142,0)</x:f>
        <x:v>0</x:v>
      </x:c>
      <x:c r="M142" s="30"/>
      <x:c r="N142" s="30"/>
    </x:row>
    <x:row r="143">
      <x:c r="H143" t="n">
        <x:f>MAX(F143-G143,0)</x:f>
        <x:v>0</x:v>
      </x:c>
      <x:c r="M143" s="30"/>
      <x:c r="N143" s="30"/>
    </x:row>
    <x:row r="144">
      <x:c r="H144" t="n">
        <x:f>MAX(F144-G144,0)</x:f>
        <x:v>0</x:v>
      </x:c>
      <x:c r="M144" s="30"/>
      <x:c r="N144" s="30"/>
    </x:row>
    <x:row r="145">
      <x:c r="H145" t="n">
        <x:f>MAX(F145-G145,0)</x:f>
        <x:v>0</x:v>
      </x:c>
      <x:c r="M145" s="30"/>
      <x:c r="N145" s="30"/>
    </x:row>
    <x:row r="146">
      <x:c r="H146" t="n">
        <x:f>MAX(F146-G146,0)</x:f>
        <x:v>0</x:v>
      </x:c>
      <x:c r="M146" s="30"/>
      <x:c r="N146" s="30"/>
    </x:row>
    <x:row r="147">
      <x:c r="H147" t="n">
        <x:f>MAX(F147-G147,0)</x:f>
        <x:v>0</x:v>
      </x:c>
      <x:c r="M147" s="30"/>
      <x:c r="N147" s="30"/>
    </x:row>
    <x:row r="148">
      <x:c r="H148" t="n">
        <x:f>MAX(F148-G148,0)</x:f>
        <x:v>0</x:v>
      </x:c>
      <x:c r="M148" s="30"/>
      <x:c r="N148" s="30"/>
    </x:row>
    <x:row r="149">
      <x:c r="H149" t="n">
        <x:f>MAX(F149-G149,0)</x:f>
        <x:v>0</x:v>
      </x:c>
      <x:c r="M149" s="30"/>
      <x:c r="N149" s="30"/>
    </x:row>
    <x:row r="150">
      <x:c r="H150" t="n">
        <x:f>MAX(F150-G150,0)</x:f>
        <x:v>0</x:v>
      </x:c>
      <x:c r="M150" s="30"/>
      <x:c r="N150" s="30"/>
    </x:row>
    <x:row r="151">
      <x:c r="H151" t="n">
        <x:f>MAX(F151-G151,0)</x:f>
        <x:v>0</x:v>
      </x:c>
      <x:c r="M151" s="30"/>
      <x:c r="N151" s="30"/>
    </x:row>
    <x:row r="152">
      <x:c r="H152" t="n">
        <x:f>MAX(F152-G152,0)</x:f>
        <x:v>0</x:v>
      </x:c>
      <x:c r="M152" s="30"/>
      <x:c r="N152" s="30"/>
    </x:row>
    <x:row r="153">
      <x:c r="H153" t="n">
        <x:f>MAX(F153-G153,0)</x:f>
        <x:v>0</x:v>
      </x:c>
      <x:c r="M153" s="30"/>
      <x:c r="N153" s="30"/>
    </x:row>
    <x:row r="154">
      <x:c r="H154" t="n">
        <x:f>MAX(F154-G154,0)</x:f>
        <x:v>0</x:v>
      </x:c>
      <x:c r="M154" s="30"/>
      <x:c r="N154" s="30"/>
    </x:row>
    <x:row r="155">
      <x:c r="H155" t="n">
        <x:f>MAX(F155-G155,0)</x:f>
        <x:v>0</x:v>
      </x:c>
      <x:c r="M155" s="30"/>
      <x:c r="N155" s="30"/>
    </x:row>
    <x:row r="156">
      <x:c r="H156" t="n">
        <x:f>MAX(F156-G156,0)</x:f>
        <x:v>0</x:v>
      </x:c>
      <x:c r="M156" s="30"/>
      <x:c r="N156" s="30"/>
    </x:row>
    <x:row r="157">
      <x:c r="H157" t="n">
        <x:f>MAX(F157-G157,0)</x:f>
        <x:v>0</x:v>
      </x:c>
      <x:c r="M157" s="30"/>
      <x:c r="N157" s="30"/>
    </x:row>
    <x:row r="158">
      <x:c r="H158" t="n">
        <x:f>MAX(F158-G158,0)</x:f>
        <x:v>0</x:v>
      </x:c>
      <x:c r="M158" s="30"/>
      <x:c r="N158" s="30"/>
    </x:row>
    <x:row r="159">
      <x:c r="H159" t="n">
        <x:f>MAX(F159-G159,0)</x:f>
        <x:v>0</x:v>
      </x:c>
      <x:c r="M159" s="30"/>
      <x:c r="N159" s="30"/>
    </x:row>
    <x:row r="160">
      <x:c r="H160" t="n">
        <x:f>MAX(F160-G160,0)</x:f>
        <x:v>0</x:v>
      </x:c>
      <x:c r="M160" s="30"/>
      <x:c r="N160" s="30"/>
    </x:row>
    <x:row r="161">
      <x:c r="H161" t="n">
        <x:f>MAX(F161-G161,0)</x:f>
        <x:v>0</x:v>
      </x:c>
      <x:c r="M161" s="30"/>
      <x:c r="N161" s="30"/>
    </x:row>
    <x:row r="162">
      <x:c r="H162" t="n">
        <x:f>MAX(F162-G162,0)</x:f>
        <x:v>0</x:v>
      </x:c>
      <x:c r="M162" s="30"/>
      <x:c r="N162" s="30"/>
    </x:row>
    <x:row r="163">
      <x:c r="H163" t="n">
        <x:f>MAX(F163-G163,0)</x:f>
        <x:v>0</x:v>
      </x:c>
      <x:c r="M163" s="30"/>
      <x:c r="N163" s="30"/>
    </x:row>
    <x:row r="164">
      <x:c r="H164" t="n">
        <x:f>MAX(F164-G164,0)</x:f>
        <x:v>0</x:v>
      </x:c>
      <x:c r="M164" s="30"/>
      <x:c r="N164" s="30"/>
    </x:row>
    <x:row r="165">
      <x:c r="H165" t="n">
        <x:f>MAX(F165-G165,0)</x:f>
        <x:v>0</x:v>
      </x:c>
      <x:c r="M165" s="30"/>
      <x:c r="N165" s="30"/>
    </x:row>
    <x:row r="166">
      <x:c r="H166" t="n">
        <x:f>MAX(F166-G166,0)</x:f>
        <x:v>0</x:v>
      </x:c>
      <x:c r="M166" s="30"/>
      <x:c r="N166" s="30"/>
    </x:row>
    <x:row r="167">
      <x:c r="H167" t="n">
        <x:f>MAX(F167-G167,0)</x:f>
        <x:v>0</x:v>
      </x:c>
      <x:c r="M167" s="30"/>
      <x:c r="N167" s="30"/>
    </x:row>
    <x:row r="168">
      <x:c r="H168" t="n">
        <x:f>MAX(F168-G168,0)</x:f>
        <x:v>0</x:v>
      </x:c>
      <x:c r="M168" s="30"/>
      <x:c r="N168" s="30"/>
    </x:row>
    <x:row r="169">
      <x:c r="H169" t="n">
        <x:f>MAX(F169-G169,0)</x:f>
        <x:v>0</x:v>
      </x:c>
      <x:c r="M169" s="30"/>
      <x:c r="N169" s="30"/>
    </x:row>
    <x:row r="170">
      <x:c r="H170" t="n">
        <x:f>MAX(F170-G170,0)</x:f>
        <x:v>0</x:v>
      </x:c>
      <x:c r="M170" s="30"/>
      <x:c r="N170" s="30"/>
    </x:row>
    <x:row r="171">
      <x:c r="H171" t="n">
        <x:f>MAX(F171-G171,0)</x:f>
        <x:v>0</x:v>
      </x:c>
      <x:c r="M171" s="30"/>
      <x:c r="N171" s="30"/>
    </x:row>
    <x:row r="172">
      <x:c r="H172" t="n">
        <x:f>MAX(F172-G172,0)</x:f>
        <x:v>0</x:v>
      </x:c>
      <x:c r="M172" s="30"/>
      <x:c r="N172" s="30"/>
    </x:row>
    <x:row r="173">
      <x:c r="H173" t="n">
        <x:f>MAX(F173-G173,0)</x:f>
        <x:v>0</x:v>
      </x:c>
      <x:c r="M173" s="30"/>
      <x:c r="N173" s="30"/>
    </x:row>
    <x:row r="174">
      <x:c r="H174" t="n">
        <x:f>MAX(F174-G174,0)</x:f>
        <x:v>0</x:v>
      </x:c>
      <x:c r="M174" s="30"/>
      <x:c r="N174" s="30"/>
    </x:row>
    <x:row r="175">
      <x:c r="H175" t="n">
        <x:f>MAX(F175-G175,0)</x:f>
        <x:v>0</x:v>
      </x:c>
      <x:c r="M175" s="30"/>
      <x:c r="N175" s="30"/>
    </x:row>
    <x:row r="176">
      <x:c r="H176" t="n">
        <x:f>MAX(F176-G176,0)</x:f>
        <x:v>0</x:v>
      </x:c>
      <x:c r="M176" s="30"/>
      <x:c r="N176" s="30"/>
    </x:row>
    <x:row r="177">
      <x:c r="H177" t="n">
        <x:f>MAX(F177-G177,0)</x:f>
        <x:v>0</x:v>
      </x:c>
      <x:c r="M177" s="30"/>
      <x:c r="N177" s="30"/>
    </x:row>
    <x:row r="178">
      <x:c r="H178" t="n">
        <x:f>MAX(F178-G178,0)</x:f>
        <x:v>0</x:v>
      </x:c>
      <x:c r="M178" s="30"/>
      <x:c r="N178" s="30"/>
    </x:row>
    <x:row r="179">
      <x:c r="H179" t="n">
        <x:f>MAX(F179-G179,0)</x:f>
        <x:v>0</x:v>
      </x:c>
      <x:c r="M179" s="30"/>
      <x:c r="N179" s="30"/>
    </x:row>
    <x:row r="180">
      <x:c r="H180" t="n">
        <x:f>MAX(F180-G180,0)</x:f>
        <x:v>0</x:v>
      </x:c>
      <x:c r="M180" s="30"/>
      <x:c r="N180" s="30"/>
    </x:row>
    <x:row r="181">
      <x:c r="H181" t="n">
        <x:f>MAX(F181-G181,0)</x:f>
        <x:v>0</x:v>
      </x:c>
      <x:c r="M181" s="30"/>
      <x:c r="N181" s="30"/>
    </x:row>
    <x:row r="182">
      <x:c r="H182" t="n">
        <x:f>MAX(F182-G182,0)</x:f>
        <x:v>0</x:v>
      </x:c>
      <x:c r="M182" s="30"/>
      <x:c r="N182" s="30"/>
    </x:row>
    <x:row r="183">
      <x:c r="H183" t="n">
        <x:f>MAX(F183-G183,0)</x:f>
        <x:v>0</x:v>
      </x:c>
      <x:c r="M183" s="30"/>
      <x:c r="N183" s="30"/>
    </x:row>
    <x:row r="184">
      <x:c r="H184" t="n">
        <x:f>MAX(F184-G184,0)</x:f>
        <x:v>0</x:v>
      </x:c>
      <x:c r="M184" s="30"/>
      <x:c r="N184" s="30"/>
    </x:row>
    <x:row r="185">
      <x:c r="H185" t="n">
        <x:f>MAX(F185-G185,0)</x:f>
        <x:v>0</x:v>
      </x:c>
      <x:c r="M185" s="30"/>
      <x:c r="N185" s="30"/>
    </x:row>
    <x:row r="186">
      <x:c r="H186" t="n">
        <x:f>MAX(F186-G186,0)</x:f>
        <x:v>0</x:v>
      </x:c>
      <x:c r="M186" s="30"/>
      <x:c r="N186" s="30"/>
    </x:row>
    <x:row r="187">
      <x:c r="H187" t="n">
        <x:f>MAX(F187-G187,0)</x:f>
        <x:v>0</x:v>
      </x:c>
      <x:c r="M187" s="30"/>
      <x:c r="N187" s="30"/>
    </x:row>
    <x:row r="188">
      <x:c r="H188" t="n">
        <x:f>MAX(F188-G188,0)</x:f>
        <x:v>0</x:v>
      </x:c>
      <x:c r="M188" s="30"/>
      <x:c r="N188" s="30"/>
    </x:row>
    <x:row r="189">
      <x:c r="H189" t="n">
        <x:f>MAX(F189-G189,0)</x:f>
        <x:v>0</x:v>
      </x:c>
      <x:c r="M189" s="30"/>
      <x:c r="N189" s="30"/>
    </x:row>
    <x:row r="190">
      <x:c r="H190" t="n">
        <x:f>MAX(F190-G190,0)</x:f>
        <x:v>0</x:v>
      </x:c>
      <x:c r="M190" s="30"/>
      <x:c r="N190" s="30"/>
    </x:row>
    <x:row r="191">
      <x:c r="H191" t="n">
        <x:f>MAX(F191-G191,0)</x:f>
        <x:v>0</x:v>
      </x:c>
      <x:c r="M191" s="30"/>
      <x:c r="N191" s="30"/>
    </x:row>
    <x:row r="192">
      <x:c r="H192" t="n">
        <x:f>MAX(F192-G192,0)</x:f>
        <x:v>0</x:v>
      </x:c>
      <x:c r="M192" s="30"/>
      <x:c r="N192" s="30"/>
    </x:row>
    <x:row r="193">
      <x:c r="H193" t="n">
        <x:f>MAX(F193-G193,0)</x:f>
        <x:v>0</x:v>
      </x:c>
      <x:c r="M193" s="30"/>
      <x:c r="N193" s="30"/>
    </x:row>
    <x:row r="194">
      <x:c r="H194" t="n">
        <x:f>MAX(F194-G194,0)</x:f>
        <x:v>0</x:v>
      </x:c>
      <x:c r="M194" s="30"/>
      <x:c r="N194" s="30"/>
    </x:row>
    <x:row r="195">
      <x:c r="H195" t="n">
        <x:f>MAX(F195-G195,0)</x:f>
        <x:v>0</x:v>
      </x:c>
      <x:c r="M195" s="30"/>
      <x:c r="N195" s="30"/>
    </x:row>
    <x:row r="196">
      <x:c r="H196" t="n">
        <x:f>MAX(F196-G196,0)</x:f>
        <x:v>0</x:v>
      </x:c>
      <x:c r="M196" s="30"/>
      <x:c r="N196" s="30"/>
    </x:row>
    <x:row r="197">
      <x:c r="H197" t="n">
        <x:f>MAX(F197-G197,0)</x:f>
        <x:v>0</x:v>
      </x:c>
      <x:c r="M197" s="30"/>
      <x:c r="N197" s="30"/>
    </x:row>
    <x:row r="198">
      <x:c r="H198" t="n">
        <x:f>MAX(F198-G198,0)</x:f>
        <x:v>0</x:v>
      </x:c>
      <x:c r="M198" s="30"/>
      <x:c r="N198" s="30"/>
    </x:row>
    <x:row r="199">
      <x:c r="H199" t="n">
        <x:f>MAX(F199-G199,0)</x:f>
        <x:v>0</x:v>
      </x:c>
      <x:c r="M199" s="30"/>
      <x:c r="N199" s="30"/>
    </x:row>
    <x:row r="200">
      <x:c r="H200" t="n">
        <x:f>MAX(F200-G200,0)</x:f>
        <x:v>0</x:v>
      </x:c>
      <x:c r="M200" s="30"/>
      <x:c r="N200" s="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3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4" hidden="0" customWidth="1"/>
    <x:col min="14" max="14" width="18" hidden="0" customWidth="1"/>
    <x:col min="15" max="15" width="14" hidden="0" customWidth="1"/>
    <x:col min="16" max="16" width="18" hidden="0" customWidth="1"/>
    <x:col min="17" max="17" width="16" hidden="0" customWidth="1"/>
    <x:col min="18" max="18" width="22" hidden="0" customWidth="1"/>
    <x:col min="19" max="19" width="24" hidden="0" customWidth="1"/>
    <x:col min="20" max="20" width="22" hidden="0" customWidth="1"/>
    <x:col min="21" max="21" width="18" hidden="0" customWidth="1"/>
    <x:col min="22" max="22" width="20" hidden="0" customWidth="1"/>
  </x:cols>
  <x:sheetData>
    <x:row r="1">
      <x:c r="A1" s="12" t="str">
        <x:v>ID_Inventario</x:v>
      </x:c>
      <x:c r="B1" s="12" t="str">
        <x:v>Codigo</x:v>
      </x:c>
      <x:c r="C1" s="12" t="str">
        <x:v>Descripcion</x:v>
      </x:c>
      <x:c r="D1" s="12" t="str">
        <x:v>Stock_Sistema</x:v>
      </x:c>
      <x:c r="E1" s="12" t="str">
        <x:v>Conteo_1</x:v>
      </x:c>
      <x:c r="F1" s="12" t="str">
        <x:v>Conteo_2</x:v>
      </x:c>
      <x:c r="G1" s="12" t="str">
        <x:v>Conteo_3</x:v>
      </x:c>
      <x:c r="H1" s="12" t="str">
        <x:v>Cantidad_Aprobada</x:v>
      </x:c>
      <x:c r="I1" s="12" t="str">
        <x:v>Diferencia</x:v>
      </x:c>
      <x:c r="J1" s="12" t="str">
        <x:v>Cantidad_Danada</x:v>
      </x:c>
      <x:c r="K1" s="12" t="str">
        <x:v>Faltante</x:v>
      </x:c>
      <x:c r="L1" s="12" t="str">
        <x:v>Sobrante</x:v>
      </x:c>
      <x:c r="M1" s="12" t="str">
        <x:v>Costo_Usado</x:v>
      </x:c>
      <x:c r="N1" s="12" t="str">
        <x:v>Origen_Costo</x:v>
      </x:c>
      <x:c r="O1" s="12" t="str">
        <x:v>Precio_Venta</x:v>
      </x:c>
      <x:c r="P1" s="12" t="str">
        <x:v>Perdida_Faltante</x:v>
      </x:c>
      <x:c r="Q1" s="12" t="str">
        <x:v>Perdida_Dano</x:v>
      </x:c>
      <x:c r="R1" s="12" t="str">
        <x:v>Valor_Venta_Afectado</x:v>
      </x:c>
      <x:c r="S1" s="12" t="str">
        <x:v>Estado</x:v>
      </x:c>
      <x:c r="T1" s="12" t="str">
        <x:v>Motivo</x:v>
      </x:c>
      <x:c r="U1" s="12" t="str">
        <x:v>Aprobado_Por</x:v>
      </x:c>
      <x:c r="V1" s="12" t="str">
        <x:v>Fecha_Aprobacion</x:v>
      </x:c>
    </x:row>
    <x:row r="2">
      <x:c r="A2" t="str">
        <x:v>INV-2026-0001</x:v>
      </x:c>
      <x:c r="B2" t="str">
        <x:v>THE60005</x:v>
      </x:c>
      <x:c r="C2" t="str">
        <x:v>CACAOSUYO LAKUNA 70%-70GR TAB</x:v>
      </x:c>
      <x:c r="D2" t="n">
        <x:v>10</x:v>
      </x:c>
      <x:c r="E2" t="n">
        <x:v>12</x:v>
      </x:c>
      <x:c r="F2"/>
      <x:c r="G2"/>
      <x:c r="H2" t="n">
        <x:v>12</x:v>
      </x:c>
      <x:c r="I2" t="n">
        <x:f>H2-D2</x:f>
        <x:v>2</x:v>
      </x:c>
      <x:c r="J2" t="n">
        <x:v>0</x:v>
      </x:c>
      <x:c r="K2" t="n">
        <x:f>MAX(D2-H2,0)</x:f>
        <x:v>0</x:v>
      </x:c>
      <x:c r="L2" t="n">
        <x:f>MAX(H2-D2,0)</x:f>
        <x:v>2</x:v>
      </x:c>
      <x:c r="M2" s="24" t="n">
        <x:v>0</x:v>
      </x:c>
      <x:c r="N2" t="str">
        <x:v>SIN COSTO</x:v>
      </x:c>
      <x:c r="O2" s="24" t="n">
        <x:v>28</x:v>
      </x:c>
      <x:c r="P2" s="24" t="n">
        <x:f>K2*M2</x:f>
        <x:v>0</x:v>
      </x:c>
      <x:c r="Q2" s="24" t="n">
        <x:f>J2*M2</x:f>
        <x:v>0</x:v>
      </x:c>
      <x:c r="R2" s="24" t="n">
        <x:f>(K2+J2)*O2</x:f>
        <x:v>0</x:v>
      </x:c>
      <x:c r="S2" t="str">
        <x:v>PENDIENTE</x:v>
      </x:c>
      <x:c r="T2" t="str"/>
      <x:c r="U2"/>
      <x:c r="V2" s="26"/>
    </x:row>
    <x:row r="3">
      <x:c r="A3" t="str">
        <x:v>INV-2026-0001</x:v>
      </x:c>
      <x:c r="B3" t="str">
        <x:v>CHO60006</x:v>
      </x:c>
      <x:c r="C3" t="str">
        <x:v>100% cacao con canela y clavo</x:v>
      </x:c>
      <x:c r="D3" t="n">
        <x:v>8</x:v>
      </x:c>
      <x:c r="E3" t="n">
        <x:v>8</x:v>
      </x:c>
      <x:c r="F3"/>
      <x:c r="G3"/>
      <x:c r="H3" t="n">
        <x:v>8</x:v>
      </x:c>
      <x:c r="I3" t="n">
        <x:f>H3-D3</x:f>
        <x:v>0</x:v>
      </x:c>
      <x:c r="J3" t="n">
        <x:v>0</x:v>
      </x:c>
      <x:c r="K3" t="n">
        <x:f>MAX(D3-H3,0)</x:f>
        <x:v>0</x:v>
      </x:c>
      <x:c r="L3" t="n">
        <x:f>MAX(H3-D3,0)</x:f>
        <x:v>0</x:v>
      </x:c>
      <x:c r="M3" s="24" t="n">
        <x:v>14</x:v>
      </x:c>
      <x:c r="N3" t="str">
        <x:v>COSTO</x:v>
      </x:c>
      <x:c r="O3" s="24" t="n">
        <x:v>32.5</x:v>
      </x:c>
      <x:c r="P3" s="24" t="n">
        <x:f>K3*M3</x:f>
        <x:v>0</x:v>
      </x:c>
      <x:c r="Q3" s="24" t="n">
        <x:f>J3*M3</x:f>
        <x:v>0</x:v>
      </x:c>
      <x:c r="R3" s="24" t="n">
        <x:f>(K3+J3)*O3</x:f>
        <x:v>0</x:v>
      </x:c>
      <x:c r="S3" t="str">
        <x:v>CUADRADO</x:v>
      </x:c>
      <x:c r="T3" t="str"/>
      <x:c r="U3"/>
      <x:c r="V3" s="26"/>
    </x:row>
    <x:row r="4">
      <x:c r="A4" t="str">
        <x:v>INV-2026-0001</x:v>
      </x:c>
      <x:c r="B4" t="str">
        <x:v>KIA60005</x:v>
      </x:c>
      <x:c r="C4" t="str">
        <x:v>100% tableta de cacao pasta pura</x:v>
      </x:c>
      <x:c r="D4" t="n">
        <x:v>2</x:v>
      </x:c>
      <x:c r="E4" t="n">
        <x:v>1</x:v>
      </x:c>
      <x:c r="F4"/>
      <x:c r="G4"/>
      <x:c r="H4" t="n">
        <x:v>1</x:v>
      </x:c>
      <x:c r="I4" t="n">
        <x:f>H4-D4</x:f>
        <x:v>-1</x:v>
      </x:c>
      <x:c r="J4" t="n">
        <x:v>1</x:v>
      </x:c>
      <x:c r="K4" t="n">
        <x:f>MAX(D4-H4,0)</x:f>
        <x:v>1</x:v>
      </x:c>
      <x:c r="L4" t="n">
        <x:f>MAX(H4-D4,0)</x:f>
        <x:v>0</x:v>
      </x:c>
      <x:c r="M4" s="24" t="n">
        <x:v>10.5</x:v>
      </x:c>
      <x:c r="N4" t="str">
        <x:v>CONSIGNACION</x:v>
      </x:c>
      <x:c r="O4" s="24" t="n">
        <x:v>18</x:v>
      </x:c>
      <x:c r="P4" s="24" t="n">
        <x:f>K4*M4</x:f>
        <x:v>10.5</x:v>
      </x:c>
      <x:c r="Q4" s="24" t="n">
        <x:f>J4*M4</x:f>
        <x:v>10.5</x:v>
      </x:c>
      <x:c r="R4" s="24" t="n">
        <x:f>(K4+J4)*O4</x:f>
        <x:v>36</x:v>
      </x:c>
      <x:c r="S4" t="str">
        <x:v>PENDIENTE</x:v>
      </x:c>
      <x:c r="T4" t="str"/>
      <x:c r="U4"/>
      <x:c r="V4" s="26"/>
    </x:row>
    <x:row r="5">
      <x:c r="I5" t="n">
        <x:f>H5-D5</x:f>
        <x:v>0</x:v>
      </x:c>
      <x:c r="K5" t="n">
        <x:f>MAX(D5-H5,0)</x:f>
        <x:v>0</x:v>
      </x:c>
      <x:c r="L5" t="n">
        <x:f>MAX(H5-D5,0)</x:f>
        <x:v>0</x:v>
      </x:c>
      <x:c r="M5" s="24"/>
      <x:c r="O5" s="24"/>
      <x:c r="P5" s="24" t="n">
        <x:f>K5*M5</x:f>
        <x:v>0</x:v>
      </x:c>
      <x:c r="Q5" s="24" t="n">
        <x:f>J5*M5</x:f>
        <x:v>0</x:v>
      </x:c>
      <x:c r="R5" s="24" t="n">
        <x:f>(K5+J5)*O5</x:f>
        <x:v>0</x:v>
      </x:c>
      <x:c r="V5" s="26"/>
    </x:row>
    <x:row r="6">
      <x:c r="I6" t="n">
        <x:f>H6-D6</x:f>
        <x:v>0</x:v>
      </x:c>
      <x:c r="K6" t="n">
        <x:f>MAX(D6-H6,0)</x:f>
        <x:v>0</x:v>
      </x:c>
      <x:c r="L6" t="n">
        <x:f>MAX(H6-D6,0)</x:f>
        <x:v>0</x:v>
      </x:c>
      <x:c r="M6" s="24"/>
      <x:c r="O6" s="24"/>
      <x:c r="P6" s="24" t="n">
        <x:f>K6*M6</x:f>
        <x:v>0</x:v>
      </x:c>
      <x:c r="Q6" s="24" t="n">
        <x:f>J6*M6</x:f>
        <x:v>0</x:v>
      </x:c>
      <x:c r="R6" s="24" t="n">
        <x:f>(K6+J6)*O6</x:f>
        <x:v>0</x:v>
      </x:c>
      <x:c r="V6" s="26"/>
    </x:row>
    <x:row r="7">
      <x:c r="I7" t="n">
        <x:f>H7-D7</x:f>
        <x:v>0</x:v>
      </x:c>
      <x:c r="K7" t="n">
        <x:f>MAX(D7-H7,0)</x:f>
        <x:v>0</x:v>
      </x:c>
      <x:c r="L7" t="n">
        <x:f>MAX(H7-D7,0)</x:f>
        <x:v>0</x:v>
      </x:c>
      <x:c r="M7" s="24"/>
      <x:c r="O7" s="24"/>
      <x:c r="P7" s="24" t="n">
        <x:f>K7*M7</x:f>
        <x:v>0</x:v>
      </x:c>
      <x:c r="Q7" s="24" t="n">
        <x:f>J7*M7</x:f>
        <x:v>0</x:v>
      </x:c>
      <x:c r="R7" s="24" t="n">
        <x:f>(K7+J7)*O7</x:f>
        <x:v>0</x:v>
      </x:c>
      <x:c r="V7" s="26"/>
    </x:row>
    <x:row r="8">
      <x:c r="I8" t="n">
        <x:f>H8-D8</x:f>
        <x:v>0</x:v>
      </x:c>
      <x:c r="K8" t="n">
        <x:f>MAX(D8-H8,0)</x:f>
        <x:v>0</x:v>
      </x:c>
      <x:c r="L8" t="n">
        <x:f>MAX(H8-D8,0)</x:f>
        <x:v>0</x:v>
      </x:c>
      <x:c r="M8" s="24"/>
      <x:c r="O8" s="24"/>
      <x:c r="P8" s="24" t="n">
        <x:f>K8*M8</x:f>
        <x:v>0</x:v>
      </x:c>
      <x:c r="Q8" s="24" t="n">
        <x:f>J8*M8</x:f>
        <x:v>0</x:v>
      </x:c>
      <x:c r="R8" s="24" t="n">
        <x:f>(K8+J8)*O8</x:f>
        <x:v>0</x:v>
      </x:c>
      <x:c r="V8" s="26"/>
    </x:row>
    <x:row r="9">
      <x:c r="I9" t="n">
        <x:f>H9-D9</x:f>
        <x:v>0</x:v>
      </x:c>
      <x:c r="K9" t="n">
        <x:f>MAX(D9-H9,0)</x:f>
        <x:v>0</x:v>
      </x:c>
      <x:c r="L9" t="n">
        <x:f>MAX(H9-D9,0)</x:f>
        <x:v>0</x:v>
      </x:c>
      <x:c r="M9" s="24"/>
      <x:c r="O9" s="24"/>
      <x:c r="P9" s="24" t="n">
        <x:f>K9*M9</x:f>
        <x:v>0</x:v>
      </x:c>
      <x:c r="Q9" s="24" t="n">
        <x:f>J9*M9</x:f>
        <x:v>0</x:v>
      </x:c>
      <x:c r="R9" s="24" t="n">
        <x:f>(K9+J9)*O9</x:f>
        <x:v>0</x:v>
      </x:c>
      <x:c r="V9" s="26"/>
    </x:row>
    <x:row r="10">
      <x:c r="I10" t="n">
        <x:f>H10-D10</x:f>
        <x:v>0</x:v>
      </x:c>
      <x:c r="K10" t="n">
        <x:f>MAX(D10-H10,0)</x:f>
        <x:v>0</x:v>
      </x:c>
      <x:c r="L10" t="n">
        <x:f>MAX(H10-D10,0)</x:f>
        <x:v>0</x:v>
      </x:c>
      <x:c r="M10" s="24"/>
      <x:c r="O10" s="24"/>
      <x:c r="P10" s="24" t="n">
        <x:f>K10*M10</x:f>
        <x:v>0</x:v>
      </x:c>
      <x:c r="Q10" s="24" t="n">
        <x:f>J10*M10</x:f>
        <x:v>0</x:v>
      </x:c>
      <x:c r="R10" s="24" t="n">
        <x:f>(K10+J10)*O10</x:f>
        <x:v>0</x:v>
      </x:c>
      <x:c r="V10" s="26"/>
    </x:row>
    <x:row r="11">
      <x:c r="I11" t="n">
        <x:f>H11-D11</x:f>
        <x:v>0</x:v>
      </x:c>
      <x:c r="K11" t="n">
        <x:f>MAX(D11-H11,0)</x:f>
        <x:v>0</x:v>
      </x:c>
      <x:c r="L11" t="n">
        <x:f>MAX(H11-D11,0)</x:f>
        <x:v>0</x:v>
      </x:c>
      <x:c r="M11" s="24"/>
      <x:c r="O11" s="24"/>
      <x:c r="P11" s="24" t="n">
        <x:f>K11*M11</x:f>
        <x:v>0</x:v>
      </x:c>
      <x:c r="Q11" s="24" t="n">
        <x:f>J11*M11</x:f>
        <x:v>0</x:v>
      </x:c>
      <x:c r="R11" s="24" t="n">
        <x:f>(K11+J11)*O11</x:f>
        <x:v>0</x:v>
      </x:c>
      <x:c r="V11" s="26"/>
    </x:row>
    <x:row r="12">
      <x:c r="I12" t="n">
        <x:f>H12-D12</x:f>
        <x:v>0</x:v>
      </x:c>
      <x:c r="K12" t="n">
        <x:f>MAX(D12-H12,0)</x:f>
        <x:v>0</x:v>
      </x:c>
      <x:c r="L12" t="n">
        <x:f>MAX(H12-D12,0)</x:f>
        <x:v>0</x:v>
      </x:c>
      <x:c r="M12" s="24"/>
      <x:c r="O12" s="24"/>
      <x:c r="P12" s="24" t="n">
        <x:f>K12*M12</x:f>
        <x:v>0</x:v>
      </x:c>
      <x:c r="Q12" s="24" t="n">
        <x:f>J12*M12</x:f>
        <x:v>0</x:v>
      </x:c>
      <x:c r="R12" s="24" t="n">
        <x:f>(K12+J12)*O12</x:f>
        <x:v>0</x:v>
      </x:c>
      <x:c r="V12" s="26"/>
    </x:row>
    <x:row r="13">
      <x:c r="I13" t="n">
        <x:f>H13-D13</x:f>
        <x:v>0</x:v>
      </x:c>
      <x:c r="K13" t="n">
        <x:f>MAX(D13-H13,0)</x:f>
        <x:v>0</x:v>
      </x:c>
      <x:c r="L13" t="n">
        <x:f>MAX(H13-D13,0)</x:f>
        <x:v>0</x:v>
      </x:c>
      <x:c r="M13" s="24"/>
      <x:c r="O13" s="24"/>
      <x:c r="P13" s="24" t="n">
        <x:f>K13*M13</x:f>
        <x:v>0</x:v>
      </x:c>
      <x:c r="Q13" s="24" t="n">
        <x:f>J13*M13</x:f>
        <x:v>0</x:v>
      </x:c>
      <x:c r="R13" s="24" t="n">
        <x:f>(K13+J13)*O13</x:f>
        <x:v>0</x:v>
      </x:c>
      <x:c r="V13" s="26"/>
    </x:row>
    <x:row r="14">
      <x:c r="I14" t="n">
        <x:f>H14-D14</x:f>
        <x:v>0</x:v>
      </x:c>
      <x:c r="K14" t="n">
        <x:f>MAX(D14-H14,0)</x:f>
        <x:v>0</x:v>
      </x:c>
      <x:c r="L14" t="n">
        <x:f>MAX(H14-D14,0)</x:f>
        <x:v>0</x:v>
      </x:c>
      <x:c r="M14" s="24"/>
      <x:c r="O14" s="24"/>
      <x:c r="P14" s="24" t="n">
        <x:f>K14*M14</x:f>
        <x:v>0</x:v>
      </x:c>
      <x:c r="Q14" s="24" t="n">
        <x:f>J14*M14</x:f>
        <x:v>0</x:v>
      </x:c>
      <x:c r="R14" s="24" t="n">
        <x:f>(K14+J14)*O14</x:f>
        <x:v>0</x:v>
      </x:c>
      <x:c r="V14" s="26"/>
    </x:row>
    <x:row r="15">
      <x:c r="I15" t="n">
        <x:f>H15-D15</x:f>
        <x:v>0</x:v>
      </x:c>
      <x:c r="K15" t="n">
        <x:f>MAX(D15-H15,0)</x:f>
        <x:v>0</x:v>
      </x:c>
      <x:c r="L15" t="n">
        <x:f>MAX(H15-D15,0)</x:f>
        <x:v>0</x:v>
      </x:c>
      <x:c r="M15" s="24"/>
      <x:c r="O15" s="24"/>
      <x:c r="P15" s="24" t="n">
        <x:f>K15*M15</x:f>
        <x:v>0</x:v>
      </x:c>
      <x:c r="Q15" s="24" t="n">
        <x:f>J15*M15</x:f>
        <x:v>0</x:v>
      </x:c>
      <x:c r="R15" s="24" t="n">
        <x:f>(K15+J15)*O15</x:f>
        <x:v>0</x:v>
      </x:c>
      <x:c r="V15" s="26"/>
    </x:row>
    <x:row r="16">
      <x:c r="I16" t="n">
        <x:f>H16-D16</x:f>
        <x:v>0</x:v>
      </x:c>
      <x:c r="K16" t="n">
        <x:f>MAX(D16-H16,0)</x:f>
        <x:v>0</x:v>
      </x:c>
      <x:c r="L16" t="n">
        <x:f>MAX(H16-D16,0)</x:f>
        <x:v>0</x:v>
      </x:c>
      <x:c r="M16" s="24"/>
      <x:c r="O16" s="24"/>
      <x:c r="P16" s="24" t="n">
        <x:f>K16*M16</x:f>
        <x:v>0</x:v>
      </x:c>
      <x:c r="Q16" s="24" t="n">
        <x:f>J16*M16</x:f>
        <x:v>0</x:v>
      </x:c>
      <x:c r="R16" s="24" t="n">
        <x:f>(K16+J16)*O16</x:f>
        <x:v>0</x:v>
      </x:c>
      <x:c r="V16" s="26"/>
    </x:row>
    <x:row r="17">
      <x:c r="I17" t="n">
        <x:f>H17-D17</x:f>
        <x:v>0</x:v>
      </x:c>
      <x:c r="K17" t="n">
        <x:f>MAX(D17-H17,0)</x:f>
        <x:v>0</x:v>
      </x:c>
      <x:c r="L17" t="n">
        <x:f>MAX(H17-D17,0)</x:f>
        <x:v>0</x:v>
      </x:c>
      <x:c r="M17" s="24"/>
      <x:c r="O17" s="24"/>
      <x:c r="P17" s="24" t="n">
        <x:f>K17*M17</x:f>
        <x:v>0</x:v>
      </x:c>
      <x:c r="Q17" s="24" t="n">
        <x:f>J17*M17</x:f>
        <x:v>0</x:v>
      </x:c>
      <x:c r="R17" s="24" t="n">
        <x:f>(K17+J17)*O17</x:f>
        <x:v>0</x:v>
      </x:c>
      <x:c r="V17" s="26"/>
    </x:row>
    <x:row r="18">
      <x:c r="I18" t="n">
        <x:f>H18-D18</x:f>
        <x:v>0</x:v>
      </x:c>
      <x:c r="K18" t="n">
        <x:f>MAX(D18-H18,0)</x:f>
        <x:v>0</x:v>
      </x:c>
      <x:c r="L18" t="n">
        <x:f>MAX(H18-D18,0)</x:f>
        <x:v>0</x:v>
      </x:c>
      <x:c r="M18" s="24"/>
      <x:c r="O18" s="24"/>
      <x:c r="P18" s="24" t="n">
        <x:f>K18*M18</x:f>
        <x:v>0</x:v>
      </x:c>
      <x:c r="Q18" s="24" t="n">
        <x:f>J18*M18</x:f>
        <x:v>0</x:v>
      </x:c>
      <x:c r="R18" s="24" t="n">
        <x:f>(K18+J18)*O18</x:f>
        <x:v>0</x:v>
      </x:c>
      <x:c r="V18" s="26"/>
    </x:row>
    <x:row r="19">
      <x:c r="I19" t="n">
        <x:f>H19-D19</x:f>
        <x:v>0</x:v>
      </x:c>
      <x:c r="K19" t="n">
        <x:f>MAX(D19-H19,0)</x:f>
        <x:v>0</x:v>
      </x:c>
      <x:c r="L19" t="n">
        <x:f>MAX(H19-D19,0)</x:f>
        <x:v>0</x:v>
      </x:c>
      <x:c r="M19" s="24"/>
      <x:c r="O19" s="24"/>
      <x:c r="P19" s="24" t="n">
        <x:f>K19*M19</x:f>
        <x:v>0</x:v>
      </x:c>
      <x:c r="Q19" s="24" t="n">
        <x:f>J19*M19</x:f>
        <x:v>0</x:v>
      </x:c>
      <x:c r="R19" s="24" t="n">
        <x:f>(K19+J19)*O19</x:f>
        <x:v>0</x:v>
      </x:c>
      <x:c r="V19" s="26"/>
    </x:row>
    <x:row r="20">
      <x:c r="I20" t="n">
        <x:f>H20-D20</x:f>
        <x:v>0</x:v>
      </x:c>
      <x:c r="K20" t="n">
        <x:f>MAX(D20-H20,0)</x:f>
        <x:v>0</x:v>
      </x:c>
      <x:c r="L20" t="n">
        <x:f>MAX(H20-D20,0)</x:f>
        <x:v>0</x:v>
      </x:c>
      <x:c r="M20" s="24"/>
      <x:c r="O20" s="24"/>
      <x:c r="P20" s="24" t="n">
        <x:f>K20*M20</x:f>
        <x:v>0</x:v>
      </x:c>
      <x:c r="Q20" s="24" t="n">
        <x:f>J20*M20</x:f>
        <x:v>0</x:v>
      </x:c>
      <x:c r="R20" s="24" t="n">
        <x:f>(K20+J20)*O20</x:f>
        <x:v>0</x:v>
      </x:c>
      <x:c r="V20" s="26"/>
    </x:row>
    <x:row r="21">
      <x:c r="I21" t="n">
        <x:f>H21-D21</x:f>
        <x:v>0</x:v>
      </x:c>
      <x:c r="K21" t="n">
        <x:f>MAX(D21-H21,0)</x:f>
        <x:v>0</x:v>
      </x:c>
      <x:c r="L21" t="n">
        <x:f>MAX(H21-D21,0)</x:f>
        <x:v>0</x:v>
      </x:c>
      <x:c r="M21" s="24"/>
      <x:c r="O21" s="24"/>
      <x:c r="P21" s="24" t="n">
        <x:f>K21*M21</x:f>
        <x:v>0</x:v>
      </x:c>
      <x:c r="Q21" s="24" t="n">
        <x:f>J21*M21</x:f>
        <x:v>0</x:v>
      </x:c>
      <x:c r="R21" s="24" t="n">
        <x:f>(K21+J21)*O21</x:f>
        <x:v>0</x:v>
      </x:c>
      <x:c r="V21" s="26"/>
    </x:row>
    <x:row r="22">
      <x:c r="I22" t="n">
        <x:f>H22-D22</x:f>
        <x:v>0</x:v>
      </x:c>
      <x:c r="K22" t="n">
        <x:f>MAX(D22-H22,0)</x:f>
        <x:v>0</x:v>
      </x:c>
      <x:c r="L22" t="n">
        <x:f>MAX(H22-D22,0)</x:f>
        <x:v>0</x:v>
      </x:c>
      <x:c r="M22" s="24"/>
      <x:c r="O22" s="24"/>
      <x:c r="P22" s="24" t="n">
        <x:f>K22*M22</x:f>
        <x:v>0</x:v>
      </x:c>
      <x:c r="Q22" s="24" t="n">
        <x:f>J22*M22</x:f>
        <x:v>0</x:v>
      </x:c>
      <x:c r="R22" s="24" t="n">
        <x:f>(K22+J22)*O22</x:f>
        <x:v>0</x:v>
      </x:c>
      <x:c r="V22" s="26"/>
    </x:row>
    <x:row r="23">
      <x:c r="I23" t="n">
        <x:f>H23-D23</x:f>
        <x:v>0</x:v>
      </x:c>
      <x:c r="K23" t="n">
        <x:f>MAX(D23-H23,0)</x:f>
        <x:v>0</x:v>
      </x:c>
      <x:c r="L23" t="n">
        <x:f>MAX(H23-D23,0)</x:f>
        <x:v>0</x:v>
      </x:c>
      <x:c r="M23" s="24"/>
      <x:c r="O23" s="24"/>
      <x:c r="P23" s="24" t="n">
        <x:f>K23*M23</x:f>
        <x:v>0</x:v>
      </x:c>
      <x:c r="Q23" s="24" t="n">
        <x:f>J23*M23</x:f>
        <x:v>0</x:v>
      </x:c>
      <x:c r="R23" s="24" t="n">
        <x:f>(K23+J23)*O23</x:f>
        <x:v>0</x:v>
      </x:c>
      <x:c r="V23" s="26"/>
    </x:row>
    <x:row r="24">
      <x:c r="I24" t="n">
        <x:f>H24-D24</x:f>
        <x:v>0</x:v>
      </x:c>
      <x:c r="K24" t="n">
        <x:f>MAX(D24-H24,0)</x:f>
        <x:v>0</x:v>
      </x:c>
      <x:c r="L24" t="n">
        <x:f>MAX(H24-D24,0)</x:f>
        <x:v>0</x:v>
      </x:c>
      <x:c r="M24" s="24"/>
      <x:c r="O24" s="24"/>
      <x:c r="P24" s="24" t="n">
        <x:f>K24*M24</x:f>
        <x:v>0</x:v>
      </x:c>
      <x:c r="Q24" s="24" t="n">
        <x:f>J24*M24</x:f>
        <x:v>0</x:v>
      </x:c>
      <x:c r="R24" s="24" t="n">
        <x:f>(K24+J24)*O24</x:f>
        <x:v>0</x:v>
      </x:c>
      <x:c r="V24" s="26"/>
    </x:row>
    <x:row r="25">
      <x:c r="I25" t="n">
        <x:f>H25-D25</x:f>
        <x:v>0</x:v>
      </x:c>
      <x:c r="K25" t="n">
        <x:f>MAX(D25-H25,0)</x:f>
        <x:v>0</x:v>
      </x:c>
      <x:c r="L25" t="n">
        <x:f>MAX(H25-D25,0)</x:f>
        <x:v>0</x:v>
      </x:c>
      <x:c r="M25" s="24"/>
      <x:c r="O25" s="24"/>
      <x:c r="P25" s="24" t="n">
        <x:f>K25*M25</x:f>
        <x:v>0</x:v>
      </x:c>
      <x:c r="Q25" s="24" t="n">
        <x:f>J25*M25</x:f>
        <x:v>0</x:v>
      </x:c>
      <x:c r="R25" s="24" t="n">
        <x:f>(K25+J25)*O25</x:f>
        <x:v>0</x:v>
      </x:c>
      <x:c r="V25" s="26"/>
    </x:row>
    <x:row r="26">
      <x:c r="I26" t="n">
        <x:f>H26-D26</x:f>
        <x:v>0</x:v>
      </x:c>
      <x:c r="K26" t="n">
        <x:f>MAX(D26-H26,0)</x:f>
        <x:v>0</x:v>
      </x:c>
      <x:c r="L26" t="n">
        <x:f>MAX(H26-D26,0)</x:f>
        <x:v>0</x:v>
      </x:c>
      <x:c r="M26" s="24"/>
      <x:c r="O26" s="24"/>
      <x:c r="P26" s="24" t="n">
        <x:f>K26*M26</x:f>
        <x:v>0</x:v>
      </x:c>
      <x:c r="Q26" s="24" t="n">
        <x:f>J26*M26</x:f>
        <x:v>0</x:v>
      </x:c>
      <x:c r="R26" s="24" t="n">
        <x:f>(K26+J26)*O26</x:f>
        <x:v>0</x:v>
      </x:c>
      <x:c r="V26" s="26"/>
    </x:row>
    <x:row r="27">
      <x:c r="I27" t="n">
        <x:f>H27-D27</x:f>
        <x:v>0</x:v>
      </x:c>
      <x:c r="K27" t="n">
        <x:f>MAX(D27-H27,0)</x:f>
        <x:v>0</x:v>
      </x:c>
      <x:c r="L27" t="n">
        <x:f>MAX(H27-D27,0)</x:f>
        <x:v>0</x:v>
      </x:c>
      <x:c r="M27" s="24"/>
      <x:c r="O27" s="24"/>
      <x:c r="P27" s="24" t="n">
        <x:f>K27*M27</x:f>
        <x:v>0</x:v>
      </x:c>
      <x:c r="Q27" s="24" t="n">
        <x:f>J27*M27</x:f>
        <x:v>0</x:v>
      </x:c>
      <x:c r="R27" s="24" t="n">
        <x:f>(K27+J27)*O27</x:f>
        <x:v>0</x:v>
      </x:c>
      <x:c r="V27" s="26"/>
    </x:row>
    <x:row r="28">
      <x:c r="I28" t="n">
        <x:f>H28-D28</x:f>
        <x:v>0</x:v>
      </x:c>
      <x:c r="K28" t="n">
        <x:f>MAX(D28-H28,0)</x:f>
        <x:v>0</x:v>
      </x:c>
      <x:c r="L28" t="n">
        <x:f>MAX(H28-D28,0)</x:f>
        <x:v>0</x:v>
      </x:c>
      <x:c r="M28" s="24"/>
      <x:c r="O28" s="24"/>
      <x:c r="P28" s="24" t="n">
        <x:f>K28*M28</x:f>
        <x:v>0</x:v>
      </x:c>
      <x:c r="Q28" s="24" t="n">
        <x:f>J28*M28</x:f>
        <x:v>0</x:v>
      </x:c>
      <x:c r="R28" s="24" t="n">
        <x:f>(K28+J28)*O28</x:f>
        <x:v>0</x:v>
      </x:c>
      <x:c r="V28" s="26"/>
    </x:row>
    <x:row r="29">
      <x:c r="I29" t="n">
        <x:f>H29-D29</x:f>
        <x:v>0</x:v>
      </x:c>
      <x:c r="K29" t="n">
        <x:f>MAX(D29-H29,0)</x:f>
        <x:v>0</x:v>
      </x:c>
      <x:c r="L29" t="n">
        <x:f>MAX(H29-D29,0)</x:f>
        <x:v>0</x:v>
      </x:c>
      <x:c r="M29" s="24"/>
      <x:c r="O29" s="24"/>
      <x:c r="P29" s="24" t="n">
        <x:f>K29*M29</x:f>
        <x:v>0</x:v>
      </x:c>
      <x:c r="Q29" s="24" t="n">
        <x:f>J29*M29</x:f>
        <x:v>0</x:v>
      </x:c>
      <x:c r="R29" s="24" t="n">
        <x:f>(K29+J29)*O29</x:f>
        <x:v>0</x:v>
      </x:c>
      <x:c r="V29" s="26"/>
    </x:row>
    <x:row r="30">
      <x:c r="I30" t="n">
        <x:f>H30-D30</x:f>
        <x:v>0</x:v>
      </x:c>
      <x:c r="K30" t="n">
        <x:f>MAX(D30-H30,0)</x:f>
        <x:v>0</x:v>
      </x:c>
      <x:c r="L30" t="n">
        <x:f>MAX(H30-D30,0)</x:f>
        <x:v>0</x:v>
      </x:c>
      <x:c r="M30" s="24"/>
      <x:c r="O30" s="24"/>
      <x:c r="P30" s="24" t="n">
        <x:f>K30*M30</x:f>
        <x:v>0</x:v>
      </x:c>
      <x:c r="Q30" s="24" t="n">
        <x:f>J30*M30</x:f>
        <x:v>0</x:v>
      </x:c>
      <x:c r="R30" s="24" t="n">
        <x:f>(K30+J30)*O30</x:f>
        <x:v>0</x:v>
      </x:c>
      <x:c r="V30" s="26"/>
    </x:row>
    <x:row r="31">
      <x:c r="I31" t="n">
        <x:f>H31-D31</x:f>
        <x:v>0</x:v>
      </x:c>
      <x:c r="K31" t="n">
        <x:f>MAX(D31-H31,0)</x:f>
        <x:v>0</x:v>
      </x:c>
      <x:c r="L31" t="n">
        <x:f>MAX(H31-D31,0)</x:f>
        <x:v>0</x:v>
      </x:c>
      <x:c r="M31" s="24"/>
      <x:c r="O31" s="24"/>
      <x:c r="P31" s="24" t="n">
        <x:f>K31*M31</x:f>
        <x:v>0</x:v>
      </x:c>
      <x:c r="Q31" s="24" t="n">
        <x:f>J31*M31</x:f>
        <x:v>0</x:v>
      </x:c>
      <x:c r="R31" s="24" t="n">
        <x:f>(K31+J31)*O31</x:f>
        <x:v>0</x:v>
      </x:c>
      <x:c r="V31" s="26"/>
    </x:row>
    <x:row r="32">
      <x:c r="I32" t="n">
        <x:f>H32-D32</x:f>
        <x:v>0</x:v>
      </x:c>
      <x:c r="K32" t="n">
        <x:f>MAX(D32-H32,0)</x:f>
        <x:v>0</x:v>
      </x:c>
      <x:c r="L32" t="n">
        <x:f>MAX(H32-D32,0)</x:f>
        <x:v>0</x:v>
      </x:c>
      <x:c r="M32" s="24"/>
      <x:c r="O32" s="24"/>
      <x:c r="P32" s="24" t="n">
        <x:f>K32*M32</x:f>
        <x:v>0</x:v>
      </x:c>
      <x:c r="Q32" s="24" t="n">
        <x:f>J32*M32</x:f>
        <x:v>0</x:v>
      </x:c>
      <x:c r="R32" s="24" t="n">
        <x:f>(K32+J32)*O32</x:f>
        <x:v>0</x:v>
      </x:c>
      <x:c r="V32" s="26"/>
    </x:row>
    <x:row r="33">
      <x:c r="I33" t="n">
        <x:f>H33-D33</x:f>
        <x:v>0</x:v>
      </x:c>
      <x:c r="K33" t="n">
        <x:f>MAX(D33-H33,0)</x:f>
        <x:v>0</x:v>
      </x:c>
      <x:c r="L33" t="n">
        <x:f>MAX(H33-D33,0)</x:f>
        <x:v>0</x:v>
      </x:c>
      <x:c r="M33" s="24"/>
      <x:c r="O33" s="24"/>
      <x:c r="P33" s="24" t="n">
        <x:f>K33*M33</x:f>
        <x:v>0</x:v>
      </x:c>
      <x:c r="Q33" s="24" t="n">
        <x:f>J33*M33</x:f>
        <x:v>0</x:v>
      </x:c>
      <x:c r="R33" s="24" t="n">
        <x:f>(K33+J33)*O33</x:f>
        <x:v>0</x:v>
      </x:c>
      <x:c r="V33" s="26"/>
    </x:row>
    <x:row r="34">
      <x:c r="I34" t="n">
        <x:f>H34-D34</x:f>
        <x:v>0</x:v>
      </x:c>
      <x:c r="K34" t="n">
        <x:f>MAX(D34-H34,0)</x:f>
        <x:v>0</x:v>
      </x:c>
      <x:c r="L34" t="n">
        <x:f>MAX(H34-D34,0)</x:f>
        <x:v>0</x:v>
      </x:c>
      <x:c r="M34" s="24"/>
      <x:c r="O34" s="24"/>
      <x:c r="P34" s="24" t="n">
        <x:f>K34*M34</x:f>
        <x:v>0</x:v>
      </x:c>
      <x:c r="Q34" s="24" t="n">
        <x:f>J34*M34</x:f>
        <x:v>0</x:v>
      </x:c>
      <x:c r="R34" s="24" t="n">
        <x:f>(K34+J34)*O34</x:f>
        <x:v>0</x:v>
      </x:c>
      <x:c r="V34" s="26"/>
    </x:row>
    <x:row r="35">
      <x:c r="I35" t="n">
        <x:f>H35-D35</x:f>
        <x:v>0</x:v>
      </x:c>
      <x:c r="K35" t="n">
        <x:f>MAX(D35-H35,0)</x:f>
        <x:v>0</x:v>
      </x:c>
      <x:c r="L35" t="n">
        <x:f>MAX(H35-D35,0)</x:f>
        <x:v>0</x:v>
      </x:c>
      <x:c r="M35" s="24"/>
      <x:c r="O35" s="24"/>
      <x:c r="P35" s="24" t="n">
        <x:f>K35*M35</x:f>
        <x:v>0</x:v>
      </x:c>
      <x:c r="Q35" s="24" t="n">
        <x:f>J35*M35</x:f>
        <x:v>0</x:v>
      </x:c>
      <x:c r="R35" s="24" t="n">
        <x:f>(K35+J35)*O35</x:f>
        <x:v>0</x:v>
      </x:c>
      <x:c r="V35" s="26"/>
    </x:row>
    <x:row r="36">
      <x:c r="I36" t="n">
        <x:f>H36-D36</x:f>
        <x:v>0</x:v>
      </x:c>
      <x:c r="K36" t="n">
        <x:f>MAX(D36-H36,0)</x:f>
        <x:v>0</x:v>
      </x:c>
      <x:c r="L36" t="n">
        <x:f>MAX(H36-D36,0)</x:f>
        <x:v>0</x:v>
      </x:c>
      <x:c r="M36" s="24"/>
      <x:c r="O36" s="24"/>
      <x:c r="P36" s="24" t="n">
        <x:f>K36*M36</x:f>
        <x:v>0</x:v>
      </x:c>
      <x:c r="Q36" s="24" t="n">
        <x:f>J36*M36</x:f>
        <x:v>0</x:v>
      </x:c>
      <x:c r="R36" s="24" t="n">
        <x:f>(K36+J36)*O36</x:f>
        <x:v>0</x:v>
      </x:c>
      <x:c r="V36" s="26"/>
    </x:row>
    <x:row r="37">
      <x:c r="I37" t="n">
        <x:f>H37-D37</x:f>
        <x:v>0</x:v>
      </x:c>
      <x:c r="K37" t="n">
        <x:f>MAX(D37-H37,0)</x:f>
        <x:v>0</x:v>
      </x:c>
      <x:c r="L37" t="n">
        <x:f>MAX(H37-D37,0)</x:f>
        <x:v>0</x:v>
      </x:c>
      <x:c r="M37" s="24"/>
      <x:c r="O37" s="24"/>
      <x:c r="P37" s="24" t="n">
        <x:f>K37*M37</x:f>
        <x:v>0</x:v>
      </x:c>
      <x:c r="Q37" s="24" t="n">
        <x:f>J37*M37</x:f>
        <x:v>0</x:v>
      </x:c>
      <x:c r="R37" s="24" t="n">
        <x:f>(K37+J37)*O37</x:f>
        <x:v>0</x:v>
      </x:c>
      <x:c r="V37" s="26"/>
    </x:row>
    <x:row r="38">
      <x:c r="I38" t="n">
        <x:f>H38-D38</x:f>
        <x:v>0</x:v>
      </x:c>
      <x:c r="K38" t="n">
        <x:f>MAX(D38-H38,0)</x:f>
        <x:v>0</x:v>
      </x:c>
      <x:c r="L38" t="n">
        <x:f>MAX(H38-D38,0)</x:f>
        <x:v>0</x:v>
      </x:c>
      <x:c r="M38" s="24"/>
      <x:c r="O38" s="24"/>
      <x:c r="P38" s="24" t="n">
        <x:f>K38*M38</x:f>
        <x:v>0</x:v>
      </x:c>
      <x:c r="Q38" s="24" t="n">
        <x:f>J38*M38</x:f>
        <x:v>0</x:v>
      </x:c>
      <x:c r="R38" s="24" t="n">
        <x:f>(K38+J38)*O38</x:f>
        <x:v>0</x:v>
      </x:c>
      <x:c r="V38" s="26"/>
    </x:row>
    <x:row r="39">
      <x:c r="I39" t="n">
        <x:f>H39-D39</x:f>
        <x:v>0</x:v>
      </x:c>
      <x:c r="K39" t="n">
        <x:f>MAX(D39-H39,0)</x:f>
        <x:v>0</x:v>
      </x:c>
      <x:c r="L39" t="n">
        <x:f>MAX(H39-D39,0)</x:f>
        <x:v>0</x:v>
      </x:c>
      <x:c r="M39" s="24"/>
      <x:c r="O39" s="24"/>
      <x:c r="P39" s="24" t="n">
        <x:f>K39*M39</x:f>
        <x:v>0</x:v>
      </x:c>
      <x:c r="Q39" s="24" t="n">
        <x:f>J39*M39</x:f>
        <x:v>0</x:v>
      </x:c>
      <x:c r="R39" s="24" t="n">
        <x:f>(K39+J39)*O39</x:f>
        <x:v>0</x:v>
      </x:c>
      <x:c r="V39" s="26"/>
    </x:row>
    <x:row r="40">
      <x:c r="I40" t="n">
        <x:f>H40-D40</x:f>
        <x:v>0</x:v>
      </x:c>
      <x:c r="K40" t="n">
        <x:f>MAX(D40-H40,0)</x:f>
        <x:v>0</x:v>
      </x:c>
      <x:c r="L40" t="n">
        <x:f>MAX(H40-D40,0)</x:f>
        <x:v>0</x:v>
      </x:c>
      <x:c r="M40" s="24"/>
      <x:c r="O40" s="24"/>
      <x:c r="P40" s="24" t="n">
        <x:f>K40*M40</x:f>
        <x:v>0</x:v>
      </x:c>
      <x:c r="Q40" s="24" t="n">
        <x:f>J40*M40</x:f>
        <x:v>0</x:v>
      </x:c>
      <x:c r="R40" s="24" t="n">
        <x:f>(K40+J40)*O40</x:f>
        <x:v>0</x:v>
      </x:c>
      <x:c r="V40" s="26"/>
    </x:row>
    <x:row r="41">
      <x:c r="I41" t="n">
        <x:f>H41-D41</x:f>
        <x:v>0</x:v>
      </x:c>
      <x:c r="K41" t="n">
        <x:f>MAX(D41-H41,0)</x:f>
        <x:v>0</x:v>
      </x:c>
      <x:c r="L41" t="n">
        <x:f>MAX(H41-D41,0)</x:f>
        <x:v>0</x:v>
      </x:c>
      <x:c r="M41" s="24"/>
      <x:c r="O41" s="24"/>
      <x:c r="P41" s="24" t="n">
        <x:f>K41*M41</x:f>
        <x:v>0</x:v>
      </x:c>
      <x:c r="Q41" s="24" t="n">
        <x:f>J41*M41</x:f>
        <x:v>0</x:v>
      </x:c>
      <x:c r="R41" s="24" t="n">
        <x:f>(K41+J41)*O41</x:f>
        <x:v>0</x:v>
      </x:c>
      <x:c r="V41" s="26"/>
    </x:row>
    <x:row r="42">
      <x:c r="I42" t="n">
        <x:f>H42-D42</x:f>
        <x:v>0</x:v>
      </x:c>
      <x:c r="K42" t="n">
        <x:f>MAX(D42-H42,0)</x:f>
        <x:v>0</x:v>
      </x:c>
      <x:c r="L42" t="n">
        <x:f>MAX(H42-D42,0)</x:f>
        <x:v>0</x:v>
      </x:c>
      <x:c r="M42" s="24"/>
      <x:c r="O42" s="24"/>
      <x:c r="P42" s="24" t="n">
        <x:f>K42*M42</x:f>
        <x:v>0</x:v>
      </x:c>
      <x:c r="Q42" s="24" t="n">
        <x:f>J42*M42</x:f>
        <x:v>0</x:v>
      </x:c>
      <x:c r="R42" s="24" t="n">
        <x:f>(K42+J42)*O42</x:f>
        <x:v>0</x:v>
      </x:c>
      <x:c r="V42" s="26"/>
    </x:row>
    <x:row r="43">
      <x:c r="I43" t="n">
        <x:f>H43-D43</x:f>
        <x:v>0</x:v>
      </x:c>
      <x:c r="K43" t="n">
        <x:f>MAX(D43-H43,0)</x:f>
        <x:v>0</x:v>
      </x:c>
      <x:c r="L43" t="n">
        <x:f>MAX(H43-D43,0)</x:f>
        <x:v>0</x:v>
      </x:c>
      <x:c r="M43" s="24"/>
      <x:c r="O43" s="24"/>
      <x:c r="P43" s="24" t="n">
        <x:f>K43*M43</x:f>
        <x:v>0</x:v>
      </x:c>
      <x:c r="Q43" s="24" t="n">
        <x:f>J43*M43</x:f>
        <x:v>0</x:v>
      </x:c>
      <x:c r="R43" s="24" t="n">
        <x:f>(K43+J43)*O43</x:f>
        <x:v>0</x:v>
      </x:c>
      <x:c r="V43" s="26"/>
    </x:row>
    <x:row r="44">
      <x:c r="I44" t="n">
        <x:f>H44-D44</x:f>
        <x:v>0</x:v>
      </x:c>
      <x:c r="K44" t="n">
        <x:f>MAX(D44-H44,0)</x:f>
        <x:v>0</x:v>
      </x:c>
      <x:c r="L44" t="n">
        <x:f>MAX(H44-D44,0)</x:f>
        <x:v>0</x:v>
      </x:c>
      <x:c r="M44" s="24"/>
      <x:c r="O44" s="24"/>
      <x:c r="P44" s="24" t="n">
        <x:f>K44*M44</x:f>
        <x:v>0</x:v>
      </x:c>
      <x:c r="Q44" s="24" t="n">
        <x:f>J44*M44</x:f>
        <x:v>0</x:v>
      </x:c>
      <x:c r="R44" s="24" t="n">
        <x:f>(K44+J44)*O44</x:f>
        <x:v>0</x:v>
      </x:c>
      <x:c r="V44" s="26"/>
    </x:row>
    <x:row r="45">
      <x:c r="I45" t="n">
        <x:f>H45-D45</x:f>
        <x:v>0</x:v>
      </x:c>
      <x:c r="K45" t="n">
        <x:f>MAX(D45-H45,0)</x:f>
        <x:v>0</x:v>
      </x:c>
      <x:c r="L45" t="n">
        <x:f>MAX(H45-D45,0)</x:f>
        <x:v>0</x:v>
      </x:c>
      <x:c r="M45" s="24"/>
      <x:c r="O45" s="24"/>
      <x:c r="P45" s="24" t="n">
        <x:f>K45*M45</x:f>
        <x:v>0</x:v>
      </x:c>
      <x:c r="Q45" s="24" t="n">
        <x:f>J45*M45</x:f>
        <x:v>0</x:v>
      </x:c>
      <x:c r="R45" s="24" t="n">
        <x:f>(K45+J45)*O45</x:f>
        <x:v>0</x:v>
      </x:c>
      <x:c r="V45" s="26"/>
    </x:row>
    <x:row r="46">
      <x:c r="I46" t="n">
        <x:f>H46-D46</x:f>
        <x:v>0</x:v>
      </x:c>
      <x:c r="K46" t="n">
        <x:f>MAX(D46-H46,0)</x:f>
        <x:v>0</x:v>
      </x:c>
      <x:c r="L46" t="n">
        <x:f>MAX(H46-D46,0)</x:f>
        <x:v>0</x:v>
      </x:c>
      <x:c r="M46" s="24"/>
      <x:c r="O46" s="24"/>
      <x:c r="P46" s="24" t="n">
        <x:f>K46*M46</x:f>
        <x:v>0</x:v>
      </x:c>
      <x:c r="Q46" s="24" t="n">
        <x:f>J46*M46</x:f>
        <x:v>0</x:v>
      </x:c>
      <x:c r="R46" s="24" t="n">
        <x:f>(K46+J46)*O46</x:f>
        <x:v>0</x:v>
      </x:c>
      <x:c r="V46" s="26"/>
    </x:row>
    <x:row r="47">
      <x:c r="I47" t="n">
        <x:f>H47-D47</x:f>
        <x:v>0</x:v>
      </x:c>
      <x:c r="K47" t="n">
        <x:f>MAX(D47-H47,0)</x:f>
        <x:v>0</x:v>
      </x:c>
      <x:c r="L47" t="n">
        <x:f>MAX(H47-D47,0)</x:f>
        <x:v>0</x:v>
      </x:c>
      <x:c r="M47" s="24"/>
      <x:c r="O47" s="24"/>
      <x:c r="P47" s="24" t="n">
        <x:f>K47*M47</x:f>
        <x:v>0</x:v>
      </x:c>
      <x:c r="Q47" s="24" t="n">
        <x:f>J47*M47</x:f>
        <x:v>0</x:v>
      </x:c>
      <x:c r="R47" s="24" t="n">
        <x:f>(K47+J47)*O47</x:f>
        <x:v>0</x:v>
      </x:c>
      <x:c r="V47" s="26"/>
    </x:row>
    <x:row r="48">
      <x:c r="I48" t="n">
        <x:f>H48-D48</x:f>
        <x:v>0</x:v>
      </x:c>
      <x:c r="K48" t="n">
        <x:f>MAX(D48-H48,0)</x:f>
        <x:v>0</x:v>
      </x:c>
      <x:c r="L48" t="n">
        <x:f>MAX(H48-D48,0)</x:f>
        <x:v>0</x:v>
      </x:c>
      <x:c r="M48" s="24"/>
      <x:c r="O48" s="24"/>
      <x:c r="P48" s="24" t="n">
        <x:f>K48*M48</x:f>
        <x:v>0</x:v>
      </x:c>
      <x:c r="Q48" s="24" t="n">
        <x:f>J48*M48</x:f>
        <x:v>0</x:v>
      </x:c>
      <x:c r="R48" s="24" t="n">
        <x:f>(K48+J48)*O48</x:f>
        <x:v>0</x:v>
      </x:c>
      <x:c r="V48" s="26"/>
    </x:row>
    <x:row r="49">
      <x:c r="I49" t="n">
        <x:f>H49-D49</x:f>
        <x:v>0</x:v>
      </x:c>
      <x:c r="K49" t="n">
        <x:f>MAX(D49-H49,0)</x:f>
        <x:v>0</x:v>
      </x:c>
      <x:c r="L49" t="n">
        <x:f>MAX(H49-D49,0)</x:f>
        <x:v>0</x:v>
      </x:c>
      <x:c r="M49" s="24"/>
      <x:c r="O49" s="24"/>
      <x:c r="P49" s="24" t="n">
        <x:f>K49*M49</x:f>
        <x:v>0</x:v>
      </x:c>
      <x:c r="Q49" s="24" t="n">
        <x:f>J49*M49</x:f>
        <x:v>0</x:v>
      </x:c>
      <x:c r="R49" s="24" t="n">
        <x:f>(K49+J49)*O49</x:f>
        <x:v>0</x:v>
      </x:c>
      <x:c r="V49" s="26"/>
    </x:row>
    <x:row r="50">
      <x:c r="I50" t="n">
        <x:f>H50-D50</x:f>
        <x:v>0</x:v>
      </x:c>
      <x:c r="K50" t="n">
        <x:f>MAX(D50-H50,0)</x:f>
        <x:v>0</x:v>
      </x:c>
      <x:c r="L50" t="n">
        <x:f>MAX(H50-D50,0)</x:f>
        <x:v>0</x:v>
      </x:c>
      <x:c r="M50" s="24"/>
      <x:c r="O50" s="24"/>
      <x:c r="P50" s="24" t="n">
        <x:f>K50*M50</x:f>
        <x:v>0</x:v>
      </x:c>
      <x:c r="Q50" s="24" t="n">
        <x:f>J50*M50</x:f>
        <x:v>0</x:v>
      </x:c>
      <x:c r="R50" s="24" t="n">
        <x:f>(K50+J50)*O50</x:f>
        <x:v>0</x:v>
      </x:c>
      <x:c r="V50" s="26"/>
    </x:row>
    <x:row r="51">
      <x:c r="I51" t="n">
        <x:f>H51-D51</x:f>
        <x:v>0</x:v>
      </x:c>
      <x:c r="K51" t="n">
        <x:f>MAX(D51-H51,0)</x:f>
        <x:v>0</x:v>
      </x:c>
      <x:c r="L51" t="n">
        <x:f>MAX(H51-D51,0)</x:f>
        <x:v>0</x:v>
      </x:c>
      <x:c r="M51" s="24"/>
      <x:c r="O51" s="24"/>
      <x:c r="P51" s="24" t="n">
        <x:f>K51*M51</x:f>
        <x:v>0</x:v>
      </x:c>
      <x:c r="Q51" s="24" t="n">
        <x:f>J51*M51</x:f>
        <x:v>0</x:v>
      </x:c>
      <x:c r="R51" s="24" t="n">
        <x:f>(K51+J51)*O51</x:f>
        <x:v>0</x:v>
      </x:c>
      <x:c r="V51" s="26"/>
    </x:row>
    <x:row r="52">
      <x:c r="I52" t="n">
        <x:f>H52-D52</x:f>
        <x:v>0</x:v>
      </x:c>
      <x:c r="K52" t="n">
        <x:f>MAX(D52-H52,0)</x:f>
        <x:v>0</x:v>
      </x:c>
      <x:c r="L52" t="n">
        <x:f>MAX(H52-D52,0)</x:f>
        <x:v>0</x:v>
      </x:c>
      <x:c r="M52" s="24"/>
      <x:c r="O52" s="24"/>
      <x:c r="P52" s="24" t="n">
        <x:f>K52*M52</x:f>
        <x:v>0</x:v>
      </x:c>
      <x:c r="Q52" s="24" t="n">
        <x:f>J52*M52</x:f>
        <x:v>0</x:v>
      </x:c>
      <x:c r="R52" s="24" t="n">
        <x:f>(K52+J52)*O52</x:f>
        <x:v>0</x:v>
      </x:c>
      <x:c r="V52" s="26"/>
    </x:row>
    <x:row r="53">
      <x:c r="I53" t="n">
        <x:f>H53-D53</x:f>
        <x:v>0</x:v>
      </x:c>
      <x:c r="K53" t="n">
        <x:f>MAX(D53-H53,0)</x:f>
        <x:v>0</x:v>
      </x:c>
      <x:c r="L53" t="n">
        <x:f>MAX(H53-D53,0)</x:f>
        <x:v>0</x:v>
      </x:c>
      <x:c r="M53" s="24"/>
      <x:c r="O53" s="24"/>
      <x:c r="P53" s="24" t="n">
        <x:f>K53*M53</x:f>
        <x:v>0</x:v>
      </x:c>
      <x:c r="Q53" s="24" t="n">
        <x:f>J53*M53</x:f>
        <x:v>0</x:v>
      </x:c>
      <x:c r="R53" s="24" t="n">
        <x:f>(K53+J53)*O53</x:f>
        <x:v>0</x:v>
      </x:c>
      <x:c r="V53" s="26"/>
    </x:row>
    <x:row r="54">
      <x:c r="I54" t="n">
        <x:f>H54-D54</x:f>
        <x:v>0</x:v>
      </x:c>
      <x:c r="K54" t="n">
        <x:f>MAX(D54-H54,0)</x:f>
        <x:v>0</x:v>
      </x:c>
      <x:c r="L54" t="n">
        <x:f>MAX(H54-D54,0)</x:f>
        <x:v>0</x:v>
      </x:c>
      <x:c r="M54" s="24"/>
      <x:c r="O54" s="24"/>
      <x:c r="P54" s="24" t="n">
        <x:f>K54*M54</x:f>
        <x:v>0</x:v>
      </x:c>
      <x:c r="Q54" s="24" t="n">
        <x:f>J54*M54</x:f>
        <x:v>0</x:v>
      </x:c>
      <x:c r="R54" s="24" t="n">
        <x:f>(K54+J54)*O54</x:f>
        <x:v>0</x:v>
      </x:c>
      <x:c r="V54" s="26"/>
    </x:row>
    <x:row r="55">
      <x:c r="I55" t="n">
        <x:f>H55-D55</x:f>
        <x:v>0</x:v>
      </x:c>
      <x:c r="K55" t="n">
        <x:f>MAX(D55-H55,0)</x:f>
        <x:v>0</x:v>
      </x:c>
      <x:c r="L55" t="n">
        <x:f>MAX(H55-D55,0)</x:f>
        <x:v>0</x:v>
      </x:c>
      <x:c r="M55" s="24"/>
      <x:c r="O55" s="24"/>
      <x:c r="P55" s="24" t="n">
        <x:f>K55*M55</x:f>
        <x:v>0</x:v>
      </x:c>
      <x:c r="Q55" s="24" t="n">
        <x:f>J55*M55</x:f>
        <x:v>0</x:v>
      </x:c>
      <x:c r="R55" s="24" t="n">
        <x:f>(K55+J55)*O55</x:f>
        <x:v>0</x:v>
      </x:c>
      <x:c r="V55" s="26"/>
    </x:row>
    <x:row r="56">
      <x:c r="I56" t="n">
        <x:f>H56-D56</x:f>
        <x:v>0</x:v>
      </x:c>
      <x:c r="K56" t="n">
        <x:f>MAX(D56-H56,0)</x:f>
        <x:v>0</x:v>
      </x:c>
      <x:c r="L56" t="n">
        <x:f>MAX(H56-D56,0)</x:f>
        <x:v>0</x:v>
      </x:c>
      <x:c r="M56" s="24"/>
      <x:c r="O56" s="24"/>
      <x:c r="P56" s="24" t="n">
        <x:f>K56*M56</x:f>
        <x:v>0</x:v>
      </x:c>
      <x:c r="Q56" s="24" t="n">
        <x:f>J56*M56</x:f>
        <x:v>0</x:v>
      </x:c>
      <x:c r="R56" s="24" t="n">
        <x:f>(K56+J56)*O56</x:f>
        <x:v>0</x:v>
      </x:c>
      <x:c r="V56" s="26"/>
    </x:row>
    <x:row r="57">
      <x:c r="I57" t="n">
        <x:f>H57-D57</x:f>
        <x:v>0</x:v>
      </x:c>
      <x:c r="K57" t="n">
        <x:f>MAX(D57-H57,0)</x:f>
        <x:v>0</x:v>
      </x:c>
      <x:c r="L57" t="n">
        <x:f>MAX(H57-D57,0)</x:f>
        <x:v>0</x:v>
      </x:c>
      <x:c r="M57" s="24"/>
      <x:c r="O57" s="24"/>
      <x:c r="P57" s="24" t="n">
        <x:f>K57*M57</x:f>
        <x:v>0</x:v>
      </x:c>
      <x:c r="Q57" s="24" t="n">
        <x:f>J57*M57</x:f>
        <x:v>0</x:v>
      </x:c>
      <x:c r="R57" s="24" t="n">
        <x:f>(K57+J57)*O57</x:f>
        <x:v>0</x:v>
      </x:c>
      <x:c r="V57" s="26"/>
    </x:row>
    <x:row r="58">
      <x:c r="I58" t="n">
        <x:f>H58-D58</x:f>
        <x:v>0</x:v>
      </x:c>
      <x:c r="K58" t="n">
        <x:f>MAX(D58-H58,0)</x:f>
        <x:v>0</x:v>
      </x:c>
      <x:c r="L58" t="n">
        <x:f>MAX(H58-D58,0)</x:f>
        <x:v>0</x:v>
      </x:c>
      <x:c r="M58" s="24"/>
      <x:c r="O58" s="24"/>
      <x:c r="P58" s="24" t="n">
        <x:f>K58*M58</x:f>
        <x:v>0</x:v>
      </x:c>
      <x:c r="Q58" s="24" t="n">
        <x:f>J58*M58</x:f>
        <x:v>0</x:v>
      </x:c>
      <x:c r="R58" s="24" t="n">
        <x:f>(K58+J58)*O58</x:f>
        <x:v>0</x:v>
      </x:c>
      <x:c r="V58" s="26"/>
    </x:row>
    <x:row r="59">
      <x:c r="I59" t="n">
        <x:f>H59-D59</x:f>
        <x:v>0</x:v>
      </x:c>
      <x:c r="K59" t="n">
        <x:f>MAX(D59-H59,0)</x:f>
        <x:v>0</x:v>
      </x:c>
      <x:c r="L59" t="n">
        <x:f>MAX(H59-D59,0)</x:f>
        <x:v>0</x:v>
      </x:c>
      <x:c r="M59" s="24"/>
      <x:c r="O59" s="24"/>
      <x:c r="P59" s="24" t="n">
        <x:f>K59*M59</x:f>
        <x:v>0</x:v>
      </x:c>
      <x:c r="Q59" s="24" t="n">
        <x:f>J59*M59</x:f>
        <x:v>0</x:v>
      </x:c>
      <x:c r="R59" s="24" t="n">
        <x:f>(K59+J59)*O59</x:f>
        <x:v>0</x:v>
      </x:c>
      <x:c r="V59" s="26"/>
    </x:row>
    <x:row r="60">
      <x:c r="I60" t="n">
        <x:f>H60-D60</x:f>
        <x:v>0</x:v>
      </x:c>
      <x:c r="K60" t="n">
        <x:f>MAX(D60-H60,0)</x:f>
        <x:v>0</x:v>
      </x:c>
      <x:c r="L60" t="n">
        <x:f>MAX(H60-D60,0)</x:f>
        <x:v>0</x:v>
      </x:c>
      <x:c r="M60" s="24"/>
      <x:c r="O60" s="24"/>
      <x:c r="P60" s="24" t="n">
        <x:f>K60*M60</x:f>
        <x:v>0</x:v>
      </x:c>
      <x:c r="Q60" s="24" t="n">
        <x:f>J60*M60</x:f>
        <x:v>0</x:v>
      </x:c>
      <x:c r="R60" s="24" t="n">
        <x:f>(K60+J60)*O60</x:f>
        <x:v>0</x:v>
      </x:c>
      <x:c r="V60" s="26"/>
    </x:row>
    <x:row r="61">
      <x:c r="I61" t="n">
        <x:f>H61-D61</x:f>
        <x:v>0</x:v>
      </x:c>
      <x:c r="K61" t="n">
        <x:f>MAX(D61-H61,0)</x:f>
        <x:v>0</x:v>
      </x:c>
      <x:c r="L61" t="n">
        <x:f>MAX(H61-D61,0)</x:f>
        <x:v>0</x:v>
      </x:c>
      <x:c r="M61" s="24"/>
      <x:c r="O61" s="24"/>
      <x:c r="P61" s="24" t="n">
        <x:f>K61*M61</x:f>
        <x:v>0</x:v>
      </x:c>
      <x:c r="Q61" s="24" t="n">
        <x:f>J61*M61</x:f>
        <x:v>0</x:v>
      </x:c>
      <x:c r="R61" s="24" t="n">
        <x:f>(K61+J61)*O61</x:f>
        <x:v>0</x:v>
      </x:c>
      <x:c r="V61" s="26"/>
    </x:row>
    <x:row r="62">
      <x:c r="I62" t="n">
        <x:f>H62-D62</x:f>
        <x:v>0</x:v>
      </x:c>
      <x:c r="K62" t="n">
        <x:f>MAX(D62-H62,0)</x:f>
        <x:v>0</x:v>
      </x:c>
      <x:c r="L62" t="n">
        <x:f>MAX(H62-D62,0)</x:f>
        <x:v>0</x:v>
      </x:c>
      <x:c r="M62" s="24"/>
      <x:c r="O62" s="24"/>
      <x:c r="P62" s="24" t="n">
        <x:f>K62*M62</x:f>
        <x:v>0</x:v>
      </x:c>
      <x:c r="Q62" s="24" t="n">
        <x:f>J62*M62</x:f>
        <x:v>0</x:v>
      </x:c>
      <x:c r="R62" s="24" t="n">
        <x:f>(K62+J62)*O62</x:f>
        <x:v>0</x:v>
      </x:c>
      <x:c r="V62" s="26"/>
    </x:row>
    <x:row r="63">
      <x:c r="I63" t="n">
        <x:f>H63-D63</x:f>
        <x:v>0</x:v>
      </x:c>
      <x:c r="K63" t="n">
        <x:f>MAX(D63-H63,0)</x:f>
        <x:v>0</x:v>
      </x:c>
      <x:c r="L63" t="n">
        <x:f>MAX(H63-D63,0)</x:f>
        <x:v>0</x:v>
      </x:c>
      <x:c r="M63" s="24"/>
      <x:c r="O63" s="24"/>
      <x:c r="P63" s="24" t="n">
        <x:f>K63*M63</x:f>
        <x:v>0</x:v>
      </x:c>
      <x:c r="Q63" s="24" t="n">
        <x:f>J63*M63</x:f>
        <x:v>0</x:v>
      </x:c>
      <x:c r="R63" s="24" t="n">
        <x:f>(K63+J63)*O63</x:f>
        <x:v>0</x:v>
      </x:c>
      <x:c r="V63" s="26"/>
    </x:row>
    <x:row r="64">
      <x:c r="I64" t="n">
        <x:f>H64-D64</x:f>
        <x:v>0</x:v>
      </x:c>
      <x:c r="K64" t="n">
        <x:f>MAX(D64-H64,0)</x:f>
        <x:v>0</x:v>
      </x:c>
      <x:c r="L64" t="n">
        <x:f>MAX(H64-D64,0)</x:f>
        <x:v>0</x:v>
      </x:c>
      <x:c r="M64" s="24"/>
      <x:c r="O64" s="24"/>
      <x:c r="P64" s="24" t="n">
        <x:f>K64*M64</x:f>
        <x:v>0</x:v>
      </x:c>
      <x:c r="Q64" s="24" t="n">
        <x:f>J64*M64</x:f>
        <x:v>0</x:v>
      </x:c>
      <x:c r="R64" s="24" t="n">
        <x:f>(K64+J64)*O64</x:f>
        <x:v>0</x:v>
      </x:c>
      <x:c r="V64" s="26"/>
    </x:row>
    <x:row r="65">
      <x:c r="I65" t="n">
        <x:f>H65-D65</x:f>
        <x:v>0</x:v>
      </x:c>
      <x:c r="K65" t="n">
        <x:f>MAX(D65-H65,0)</x:f>
        <x:v>0</x:v>
      </x:c>
      <x:c r="L65" t="n">
        <x:f>MAX(H65-D65,0)</x:f>
        <x:v>0</x:v>
      </x:c>
      <x:c r="M65" s="24"/>
      <x:c r="O65" s="24"/>
      <x:c r="P65" s="24" t="n">
        <x:f>K65*M65</x:f>
        <x:v>0</x:v>
      </x:c>
      <x:c r="Q65" s="24" t="n">
        <x:f>J65*M65</x:f>
        <x:v>0</x:v>
      </x:c>
      <x:c r="R65" s="24" t="n">
        <x:f>(K65+J65)*O65</x:f>
        <x:v>0</x:v>
      </x:c>
      <x:c r="V65" s="26"/>
    </x:row>
    <x:row r="66">
      <x:c r="I66" t="n">
        <x:f>H66-D66</x:f>
        <x:v>0</x:v>
      </x:c>
      <x:c r="K66" t="n">
        <x:f>MAX(D66-H66,0)</x:f>
        <x:v>0</x:v>
      </x:c>
      <x:c r="L66" t="n">
        <x:f>MAX(H66-D66,0)</x:f>
        <x:v>0</x:v>
      </x:c>
      <x:c r="M66" s="24"/>
      <x:c r="O66" s="24"/>
      <x:c r="P66" s="24" t="n">
        <x:f>K66*M66</x:f>
        <x:v>0</x:v>
      </x:c>
      <x:c r="Q66" s="24" t="n">
        <x:f>J66*M66</x:f>
        <x:v>0</x:v>
      </x:c>
      <x:c r="R66" s="24" t="n">
        <x:f>(K66+J66)*O66</x:f>
        <x:v>0</x:v>
      </x:c>
      <x:c r="V66" s="26"/>
    </x:row>
    <x:row r="67">
      <x:c r="I67" t="n">
        <x:f>H67-D67</x:f>
        <x:v>0</x:v>
      </x:c>
      <x:c r="K67" t="n">
        <x:f>MAX(D67-H67,0)</x:f>
        <x:v>0</x:v>
      </x:c>
      <x:c r="L67" t="n">
        <x:f>MAX(H67-D67,0)</x:f>
        <x:v>0</x:v>
      </x:c>
      <x:c r="M67" s="24"/>
      <x:c r="O67" s="24"/>
      <x:c r="P67" s="24" t="n">
        <x:f>K67*M67</x:f>
        <x:v>0</x:v>
      </x:c>
      <x:c r="Q67" s="24" t="n">
        <x:f>J67*M67</x:f>
        <x:v>0</x:v>
      </x:c>
      <x:c r="R67" s="24" t="n">
        <x:f>(K67+J67)*O67</x:f>
        <x:v>0</x:v>
      </x:c>
      <x:c r="V67" s="26"/>
    </x:row>
    <x:row r="68">
      <x:c r="I68" t="n">
        <x:f>H68-D68</x:f>
        <x:v>0</x:v>
      </x:c>
      <x:c r="K68" t="n">
        <x:f>MAX(D68-H68,0)</x:f>
        <x:v>0</x:v>
      </x:c>
      <x:c r="L68" t="n">
        <x:f>MAX(H68-D68,0)</x:f>
        <x:v>0</x:v>
      </x:c>
      <x:c r="M68" s="24"/>
      <x:c r="O68" s="24"/>
      <x:c r="P68" s="24" t="n">
        <x:f>K68*M68</x:f>
        <x:v>0</x:v>
      </x:c>
      <x:c r="Q68" s="24" t="n">
        <x:f>J68*M68</x:f>
        <x:v>0</x:v>
      </x:c>
      <x:c r="R68" s="24" t="n">
        <x:f>(K68+J68)*O68</x:f>
        <x:v>0</x:v>
      </x:c>
      <x:c r="V68" s="26"/>
    </x:row>
    <x:row r="69">
      <x:c r="I69" t="n">
        <x:f>H69-D69</x:f>
        <x:v>0</x:v>
      </x:c>
      <x:c r="K69" t="n">
        <x:f>MAX(D69-H69,0)</x:f>
        <x:v>0</x:v>
      </x:c>
      <x:c r="L69" t="n">
        <x:f>MAX(H69-D69,0)</x:f>
        <x:v>0</x:v>
      </x:c>
      <x:c r="M69" s="24"/>
      <x:c r="O69" s="24"/>
      <x:c r="P69" s="24" t="n">
        <x:f>K69*M69</x:f>
        <x:v>0</x:v>
      </x:c>
      <x:c r="Q69" s="24" t="n">
        <x:f>J69*M69</x:f>
        <x:v>0</x:v>
      </x:c>
      <x:c r="R69" s="24" t="n">
        <x:f>(K69+J69)*O69</x:f>
        <x:v>0</x:v>
      </x:c>
      <x:c r="V69" s="26"/>
    </x:row>
    <x:row r="70">
      <x:c r="I70" t="n">
        <x:f>H70-D70</x:f>
        <x:v>0</x:v>
      </x:c>
      <x:c r="K70" t="n">
        <x:f>MAX(D70-H70,0)</x:f>
        <x:v>0</x:v>
      </x:c>
      <x:c r="L70" t="n">
        <x:f>MAX(H70-D70,0)</x:f>
        <x:v>0</x:v>
      </x:c>
      <x:c r="M70" s="24"/>
      <x:c r="O70" s="24"/>
      <x:c r="P70" s="24" t="n">
        <x:f>K70*M70</x:f>
        <x:v>0</x:v>
      </x:c>
      <x:c r="Q70" s="24" t="n">
        <x:f>J70*M70</x:f>
        <x:v>0</x:v>
      </x:c>
      <x:c r="R70" s="24" t="n">
        <x:f>(K70+J70)*O70</x:f>
        <x:v>0</x:v>
      </x:c>
      <x:c r="V70" s="26"/>
    </x:row>
    <x:row r="71">
      <x:c r="I71" t="n">
        <x:f>H71-D71</x:f>
        <x:v>0</x:v>
      </x:c>
      <x:c r="K71" t="n">
        <x:f>MAX(D71-H71,0)</x:f>
        <x:v>0</x:v>
      </x:c>
      <x:c r="L71" t="n">
        <x:f>MAX(H71-D71,0)</x:f>
        <x:v>0</x:v>
      </x:c>
      <x:c r="M71" s="24"/>
      <x:c r="O71" s="24"/>
      <x:c r="P71" s="24" t="n">
        <x:f>K71*M71</x:f>
        <x:v>0</x:v>
      </x:c>
      <x:c r="Q71" s="24" t="n">
        <x:f>J71*M71</x:f>
        <x:v>0</x:v>
      </x:c>
      <x:c r="R71" s="24" t="n">
        <x:f>(K71+J71)*O71</x:f>
        <x:v>0</x:v>
      </x:c>
      <x:c r="V71" s="26"/>
    </x:row>
    <x:row r="72">
      <x:c r="I72" t="n">
        <x:f>H72-D72</x:f>
        <x:v>0</x:v>
      </x:c>
      <x:c r="K72" t="n">
        <x:f>MAX(D72-H72,0)</x:f>
        <x:v>0</x:v>
      </x:c>
      <x:c r="L72" t="n">
        <x:f>MAX(H72-D72,0)</x:f>
        <x:v>0</x:v>
      </x:c>
      <x:c r="M72" s="24"/>
      <x:c r="O72" s="24"/>
      <x:c r="P72" s="24" t="n">
        <x:f>K72*M72</x:f>
        <x:v>0</x:v>
      </x:c>
      <x:c r="Q72" s="24" t="n">
        <x:f>J72*M72</x:f>
        <x:v>0</x:v>
      </x:c>
      <x:c r="R72" s="24" t="n">
        <x:f>(K72+J72)*O72</x:f>
        <x:v>0</x:v>
      </x:c>
      <x:c r="V72" s="26"/>
    </x:row>
    <x:row r="73">
      <x:c r="I73" t="n">
        <x:f>H73-D73</x:f>
        <x:v>0</x:v>
      </x:c>
      <x:c r="K73" t="n">
        <x:f>MAX(D73-H73,0)</x:f>
        <x:v>0</x:v>
      </x:c>
      <x:c r="L73" t="n">
        <x:f>MAX(H73-D73,0)</x:f>
        <x:v>0</x:v>
      </x:c>
      <x:c r="M73" s="24"/>
      <x:c r="O73" s="24"/>
      <x:c r="P73" s="24" t="n">
        <x:f>K73*M73</x:f>
        <x:v>0</x:v>
      </x:c>
      <x:c r="Q73" s="24" t="n">
        <x:f>J73*M73</x:f>
        <x:v>0</x:v>
      </x:c>
      <x:c r="R73" s="24" t="n">
        <x:f>(K73+J73)*O73</x:f>
        <x:v>0</x:v>
      </x:c>
      <x:c r="V73" s="26"/>
    </x:row>
    <x:row r="74">
      <x:c r="I74" t="n">
        <x:f>H74-D74</x:f>
        <x:v>0</x:v>
      </x:c>
      <x:c r="K74" t="n">
        <x:f>MAX(D74-H74,0)</x:f>
        <x:v>0</x:v>
      </x:c>
      <x:c r="L74" t="n">
        <x:f>MAX(H74-D74,0)</x:f>
        <x:v>0</x:v>
      </x:c>
      <x:c r="M74" s="24"/>
      <x:c r="O74" s="24"/>
      <x:c r="P74" s="24" t="n">
        <x:f>K74*M74</x:f>
        <x:v>0</x:v>
      </x:c>
      <x:c r="Q74" s="24" t="n">
        <x:f>J74*M74</x:f>
        <x:v>0</x:v>
      </x:c>
      <x:c r="R74" s="24" t="n">
        <x:f>(K74+J74)*O74</x:f>
        <x:v>0</x:v>
      </x:c>
      <x:c r="V74" s="26"/>
    </x:row>
    <x:row r="75">
      <x:c r="I75" t="n">
        <x:f>H75-D75</x:f>
        <x:v>0</x:v>
      </x:c>
      <x:c r="K75" t="n">
        <x:f>MAX(D75-H75,0)</x:f>
        <x:v>0</x:v>
      </x:c>
      <x:c r="L75" t="n">
        <x:f>MAX(H75-D75,0)</x:f>
        <x:v>0</x:v>
      </x:c>
      <x:c r="M75" s="24"/>
      <x:c r="O75" s="24"/>
      <x:c r="P75" s="24" t="n">
        <x:f>K75*M75</x:f>
        <x:v>0</x:v>
      </x:c>
      <x:c r="Q75" s="24" t="n">
        <x:f>J75*M75</x:f>
        <x:v>0</x:v>
      </x:c>
      <x:c r="R75" s="24" t="n">
        <x:f>(K75+J75)*O75</x:f>
        <x:v>0</x:v>
      </x:c>
      <x:c r="V75" s="26"/>
    </x:row>
    <x:row r="76">
      <x:c r="I76" t="n">
        <x:f>H76-D76</x:f>
        <x:v>0</x:v>
      </x:c>
      <x:c r="K76" t="n">
        <x:f>MAX(D76-H76,0)</x:f>
        <x:v>0</x:v>
      </x:c>
      <x:c r="L76" t="n">
        <x:f>MAX(H76-D76,0)</x:f>
        <x:v>0</x:v>
      </x:c>
      <x:c r="M76" s="24"/>
      <x:c r="O76" s="24"/>
      <x:c r="P76" s="24" t="n">
        <x:f>K76*M76</x:f>
        <x:v>0</x:v>
      </x:c>
      <x:c r="Q76" s="24" t="n">
        <x:f>J76*M76</x:f>
        <x:v>0</x:v>
      </x:c>
      <x:c r="R76" s="24" t="n">
        <x:f>(K76+J76)*O76</x:f>
        <x:v>0</x:v>
      </x:c>
      <x:c r="V76" s="26"/>
    </x:row>
    <x:row r="77">
      <x:c r="I77" t="n">
        <x:f>H77-D77</x:f>
        <x:v>0</x:v>
      </x:c>
      <x:c r="K77" t="n">
        <x:f>MAX(D77-H77,0)</x:f>
        <x:v>0</x:v>
      </x:c>
      <x:c r="L77" t="n">
        <x:f>MAX(H77-D77,0)</x:f>
        <x:v>0</x:v>
      </x:c>
      <x:c r="M77" s="24"/>
      <x:c r="O77" s="24"/>
      <x:c r="P77" s="24" t="n">
        <x:f>K77*M77</x:f>
        <x:v>0</x:v>
      </x:c>
      <x:c r="Q77" s="24" t="n">
        <x:f>J77*M77</x:f>
        <x:v>0</x:v>
      </x:c>
      <x:c r="R77" s="24" t="n">
        <x:f>(K77+J77)*O77</x:f>
        <x:v>0</x:v>
      </x:c>
      <x:c r="V77" s="26"/>
    </x:row>
    <x:row r="78">
      <x:c r="I78" t="n">
        <x:f>H78-D78</x:f>
        <x:v>0</x:v>
      </x:c>
      <x:c r="K78" t="n">
        <x:f>MAX(D78-H78,0)</x:f>
        <x:v>0</x:v>
      </x:c>
      <x:c r="L78" t="n">
        <x:f>MAX(H78-D78,0)</x:f>
        <x:v>0</x:v>
      </x:c>
      <x:c r="M78" s="24"/>
      <x:c r="O78" s="24"/>
      <x:c r="P78" s="24" t="n">
        <x:f>K78*M78</x:f>
        <x:v>0</x:v>
      </x:c>
      <x:c r="Q78" s="24" t="n">
        <x:f>J78*M78</x:f>
        <x:v>0</x:v>
      </x:c>
      <x:c r="R78" s="24" t="n">
        <x:f>(K78+J78)*O78</x:f>
        <x:v>0</x:v>
      </x:c>
      <x:c r="V78" s="26"/>
    </x:row>
    <x:row r="79">
      <x:c r="I79" t="n">
        <x:f>H79-D79</x:f>
        <x:v>0</x:v>
      </x:c>
      <x:c r="K79" t="n">
        <x:f>MAX(D79-H79,0)</x:f>
        <x:v>0</x:v>
      </x:c>
      <x:c r="L79" t="n">
        <x:f>MAX(H79-D79,0)</x:f>
        <x:v>0</x:v>
      </x:c>
      <x:c r="M79" s="24"/>
      <x:c r="O79" s="24"/>
      <x:c r="P79" s="24" t="n">
        <x:f>K79*M79</x:f>
        <x:v>0</x:v>
      </x:c>
      <x:c r="Q79" s="24" t="n">
        <x:f>J79*M79</x:f>
        <x:v>0</x:v>
      </x:c>
      <x:c r="R79" s="24" t="n">
        <x:f>(K79+J79)*O79</x:f>
        <x:v>0</x:v>
      </x:c>
      <x:c r="V79" s="26"/>
    </x:row>
    <x:row r="80">
      <x:c r="I80" t="n">
        <x:f>H80-D80</x:f>
        <x:v>0</x:v>
      </x:c>
      <x:c r="K80" t="n">
        <x:f>MAX(D80-H80,0)</x:f>
        <x:v>0</x:v>
      </x:c>
      <x:c r="L80" t="n">
        <x:f>MAX(H80-D80,0)</x:f>
        <x:v>0</x:v>
      </x:c>
      <x:c r="M80" s="24"/>
      <x:c r="O80" s="24"/>
      <x:c r="P80" s="24" t="n">
        <x:f>K80*M80</x:f>
        <x:v>0</x:v>
      </x:c>
      <x:c r="Q80" s="24" t="n">
        <x:f>J80*M80</x:f>
        <x:v>0</x:v>
      </x:c>
      <x:c r="R80" s="24" t="n">
        <x:f>(K80+J80)*O80</x:f>
        <x:v>0</x:v>
      </x:c>
      <x:c r="V80" s="26"/>
    </x:row>
    <x:row r="81">
      <x:c r="I81" t="n">
        <x:f>H81-D81</x:f>
        <x:v>0</x:v>
      </x:c>
      <x:c r="K81" t="n">
        <x:f>MAX(D81-H81,0)</x:f>
        <x:v>0</x:v>
      </x:c>
      <x:c r="L81" t="n">
        <x:f>MAX(H81-D81,0)</x:f>
        <x:v>0</x:v>
      </x:c>
      <x:c r="M81" s="24"/>
      <x:c r="O81" s="24"/>
      <x:c r="P81" s="24" t="n">
        <x:f>K81*M81</x:f>
        <x:v>0</x:v>
      </x:c>
      <x:c r="Q81" s="24" t="n">
        <x:f>J81*M81</x:f>
        <x:v>0</x:v>
      </x:c>
      <x:c r="R81" s="24" t="n">
        <x:f>(K81+J81)*O81</x:f>
        <x:v>0</x:v>
      </x:c>
      <x:c r="V81" s="26"/>
    </x:row>
    <x:row r="82">
      <x:c r="I82" t="n">
        <x:f>H82-D82</x:f>
        <x:v>0</x:v>
      </x:c>
      <x:c r="K82" t="n">
        <x:f>MAX(D82-H82,0)</x:f>
        <x:v>0</x:v>
      </x:c>
      <x:c r="L82" t="n">
        <x:f>MAX(H82-D82,0)</x:f>
        <x:v>0</x:v>
      </x:c>
      <x:c r="M82" s="24"/>
      <x:c r="O82" s="24"/>
      <x:c r="P82" s="24" t="n">
        <x:f>K82*M82</x:f>
        <x:v>0</x:v>
      </x:c>
      <x:c r="Q82" s="24" t="n">
        <x:f>J82*M82</x:f>
        <x:v>0</x:v>
      </x:c>
      <x:c r="R82" s="24" t="n">
        <x:f>(K82+J82)*O82</x:f>
        <x:v>0</x:v>
      </x:c>
      <x:c r="V82" s="26"/>
    </x:row>
    <x:row r="83">
      <x:c r="I83" t="n">
        <x:f>H83-D83</x:f>
        <x:v>0</x:v>
      </x:c>
      <x:c r="K83" t="n">
        <x:f>MAX(D83-H83,0)</x:f>
        <x:v>0</x:v>
      </x:c>
      <x:c r="L83" t="n">
        <x:f>MAX(H83-D83,0)</x:f>
        <x:v>0</x:v>
      </x:c>
      <x:c r="M83" s="24"/>
      <x:c r="O83" s="24"/>
      <x:c r="P83" s="24" t="n">
        <x:f>K83*M83</x:f>
        <x:v>0</x:v>
      </x:c>
      <x:c r="Q83" s="24" t="n">
        <x:f>J83*M83</x:f>
        <x:v>0</x:v>
      </x:c>
      <x:c r="R83" s="24" t="n">
        <x:f>(K83+J83)*O83</x:f>
        <x:v>0</x:v>
      </x:c>
      <x:c r="V83" s="26"/>
    </x:row>
    <x:row r="84">
      <x:c r="I84" t="n">
        <x:f>H84-D84</x:f>
        <x:v>0</x:v>
      </x:c>
      <x:c r="K84" t="n">
        <x:f>MAX(D84-H84,0)</x:f>
        <x:v>0</x:v>
      </x:c>
      <x:c r="L84" t="n">
        <x:f>MAX(H84-D84,0)</x:f>
        <x:v>0</x:v>
      </x:c>
      <x:c r="M84" s="24"/>
      <x:c r="O84" s="24"/>
      <x:c r="P84" s="24" t="n">
        <x:f>K84*M84</x:f>
        <x:v>0</x:v>
      </x:c>
      <x:c r="Q84" s="24" t="n">
        <x:f>J84*M84</x:f>
        <x:v>0</x:v>
      </x:c>
      <x:c r="R84" s="24" t="n">
        <x:f>(K84+J84)*O84</x:f>
        <x:v>0</x:v>
      </x:c>
      <x:c r="V84" s="26"/>
    </x:row>
    <x:row r="85">
      <x:c r="I85" t="n">
        <x:f>H85-D85</x:f>
        <x:v>0</x:v>
      </x:c>
      <x:c r="K85" t="n">
        <x:f>MAX(D85-H85,0)</x:f>
        <x:v>0</x:v>
      </x:c>
      <x:c r="L85" t="n">
        <x:f>MAX(H85-D85,0)</x:f>
        <x:v>0</x:v>
      </x:c>
      <x:c r="M85" s="24"/>
      <x:c r="O85" s="24"/>
      <x:c r="P85" s="24" t="n">
        <x:f>K85*M85</x:f>
        <x:v>0</x:v>
      </x:c>
      <x:c r="Q85" s="24" t="n">
        <x:f>J85*M85</x:f>
        <x:v>0</x:v>
      </x:c>
      <x:c r="R85" s="24" t="n">
        <x:f>(K85+J85)*O85</x:f>
        <x:v>0</x:v>
      </x:c>
      <x:c r="V85" s="26"/>
    </x:row>
    <x:row r="86">
      <x:c r="I86" t="n">
        <x:f>H86-D86</x:f>
        <x:v>0</x:v>
      </x:c>
      <x:c r="K86" t="n">
        <x:f>MAX(D86-H86,0)</x:f>
        <x:v>0</x:v>
      </x:c>
      <x:c r="L86" t="n">
        <x:f>MAX(H86-D86,0)</x:f>
        <x:v>0</x:v>
      </x:c>
      <x:c r="M86" s="24"/>
      <x:c r="O86" s="24"/>
      <x:c r="P86" s="24" t="n">
        <x:f>K86*M86</x:f>
        <x:v>0</x:v>
      </x:c>
      <x:c r="Q86" s="24" t="n">
        <x:f>J86*M86</x:f>
        <x:v>0</x:v>
      </x:c>
      <x:c r="R86" s="24" t="n">
        <x:f>(K86+J86)*O86</x:f>
        <x:v>0</x:v>
      </x:c>
      <x:c r="V86" s="26"/>
    </x:row>
    <x:row r="87">
      <x:c r="I87" t="n">
        <x:f>H87-D87</x:f>
        <x:v>0</x:v>
      </x:c>
      <x:c r="K87" t="n">
        <x:f>MAX(D87-H87,0)</x:f>
        <x:v>0</x:v>
      </x:c>
      <x:c r="L87" t="n">
        <x:f>MAX(H87-D87,0)</x:f>
        <x:v>0</x:v>
      </x:c>
      <x:c r="M87" s="24"/>
      <x:c r="O87" s="24"/>
      <x:c r="P87" s="24" t="n">
        <x:f>K87*M87</x:f>
        <x:v>0</x:v>
      </x:c>
      <x:c r="Q87" s="24" t="n">
        <x:f>J87*M87</x:f>
        <x:v>0</x:v>
      </x:c>
      <x:c r="R87" s="24" t="n">
        <x:f>(K87+J87)*O87</x:f>
        <x:v>0</x:v>
      </x:c>
      <x:c r="V87" s="26"/>
    </x:row>
    <x:row r="88">
      <x:c r="I88" t="n">
        <x:f>H88-D88</x:f>
        <x:v>0</x:v>
      </x:c>
      <x:c r="K88" t="n">
        <x:f>MAX(D88-H88,0)</x:f>
        <x:v>0</x:v>
      </x:c>
      <x:c r="L88" t="n">
        <x:f>MAX(H88-D88,0)</x:f>
        <x:v>0</x:v>
      </x:c>
      <x:c r="M88" s="24"/>
      <x:c r="O88" s="24"/>
      <x:c r="P88" s="24" t="n">
        <x:f>K88*M88</x:f>
        <x:v>0</x:v>
      </x:c>
      <x:c r="Q88" s="24" t="n">
        <x:f>J88*M88</x:f>
        <x:v>0</x:v>
      </x:c>
      <x:c r="R88" s="24" t="n">
        <x:f>(K88+J88)*O88</x:f>
        <x:v>0</x:v>
      </x:c>
      <x:c r="V88" s="26"/>
    </x:row>
    <x:row r="89">
      <x:c r="I89" t="n">
        <x:f>H89-D89</x:f>
        <x:v>0</x:v>
      </x:c>
      <x:c r="K89" t="n">
        <x:f>MAX(D89-H89,0)</x:f>
        <x:v>0</x:v>
      </x:c>
      <x:c r="L89" t="n">
        <x:f>MAX(H89-D89,0)</x:f>
        <x:v>0</x:v>
      </x:c>
      <x:c r="M89" s="24"/>
      <x:c r="O89" s="24"/>
      <x:c r="P89" s="24" t="n">
        <x:f>K89*M89</x:f>
        <x:v>0</x:v>
      </x:c>
      <x:c r="Q89" s="24" t="n">
        <x:f>J89*M89</x:f>
        <x:v>0</x:v>
      </x:c>
      <x:c r="R89" s="24" t="n">
        <x:f>(K89+J89)*O89</x:f>
        <x:v>0</x:v>
      </x:c>
      <x:c r="V89" s="26"/>
    </x:row>
    <x:row r="90">
      <x:c r="I90" t="n">
        <x:f>H90-D90</x:f>
        <x:v>0</x:v>
      </x:c>
      <x:c r="K90" t="n">
        <x:f>MAX(D90-H90,0)</x:f>
        <x:v>0</x:v>
      </x:c>
      <x:c r="L90" t="n">
        <x:f>MAX(H90-D90,0)</x:f>
        <x:v>0</x:v>
      </x:c>
      <x:c r="M90" s="24"/>
      <x:c r="O90" s="24"/>
      <x:c r="P90" s="24" t="n">
        <x:f>K90*M90</x:f>
        <x:v>0</x:v>
      </x:c>
      <x:c r="Q90" s="24" t="n">
        <x:f>J90*M90</x:f>
        <x:v>0</x:v>
      </x:c>
      <x:c r="R90" s="24" t="n">
        <x:f>(K90+J90)*O90</x:f>
        <x:v>0</x:v>
      </x:c>
      <x:c r="V90" s="26"/>
    </x:row>
    <x:row r="91">
      <x:c r="I91" t="n">
        <x:f>H91-D91</x:f>
        <x:v>0</x:v>
      </x:c>
      <x:c r="K91" t="n">
        <x:f>MAX(D91-H91,0)</x:f>
        <x:v>0</x:v>
      </x:c>
      <x:c r="L91" t="n">
        <x:f>MAX(H91-D91,0)</x:f>
        <x:v>0</x:v>
      </x:c>
      <x:c r="M91" s="24"/>
      <x:c r="O91" s="24"/>
      <x:c r="P91" s="24" t="n">
        <x:f>K91*M91</x:f>
        <x:v>0</x:v>
      </x:c>
      <x:c r="Q91" s="24" t="n">
        <x:f>J91*M91</x:f>
        <x:v>0</x:v>
      </x:c>
      <x:c r="R91" s="24" t="n">
        <x:f>(K91+J91)*O91</x:f>
        <x:v>0</x:v>
      </x:c>
      <x:c r="V91" s="26"/>
    </x:row>
    <x:row r="92">
      <x:c r="I92" t="n">
        <x:f>H92-D92</x:f>
        <x:v>0</x:v>
      </x:c>
      <x:c r="K92" t="n">
        <x:f>MAX(D92-H92,0)</x:f>
        <x:v>0</x:v>
      </x:c>
      <x:c r="L92" t="n">
        <x:f>MAX(H92-D92,0)</x:f>
        <x:v>0</x:v>
      </x:c>
      <x:c r="M92" s="24"/>
      <x:c r="O92" s="24"/>
      <x:c r="P92" s="24" t="n">
        <x:f>K92*M92</x:f>
        <x:v>0</x:v>
      </x:c>
      <x:c r="Q92" s="24" t="n">
        <x:f>J92*M92</x:f>
        <x:v>0</x:v>
      </x:c>
      <x:c r="R92" s="24" t="n">
        <x:f>(K92+J92)*O92</x:f>
        <x:v>0</x:v>
      </x:c>
      <x:c r="V92" s="26"/>
    </x:row>
    <x:row r="93">
      <x:c r="I93" t="n">
        <x:f>H93-D93</x:f>
        <x:v>0</x:v>
      </x:c>
      <x:c r="K93" t="n">
        <x:f>MAX(D93-H93,0)</x:f>
        <x:v>0</x:v>
      </x:c>
      <x:c r="L93" t="n">
        <x:f>MAX(H93-D93,0)</x:f>
        <x:v>0</x:v>
      </x:c>
      <x:c r="M93" s="24"/>
      <x:c r="O93" s="24"/>
      <x:c r="P93" s="24" t="n">
        <x:f>K93*M93</x:f>
        <x:v>0</x:v>
      </x:c>
      <x:c r="Q93" s="24" t="n">
        <x:f>J93*M93</x:f>
        <x:v>0</x:v>
      </x:c>
      <x:c r="R93" s="24" t="n">
        <x:f>(K93+J93)*O93</x:f>
        <x:v>0</x:v>
      </x:c>
      <x:c r="V93" s="26"/>
    </x:row>
    <x:row r="94">
      <x:c r="I94" t="n">
        <x:f>H94-D94</x:f>
        <x:v>0</x:v>
      </x:c>
      <x:c r="K94" t="n">
        <x:f>MAX(D94-H94,0)</x:f>
        <x:v>0</x:v>
      </x:c>
      <x:c r="L94" t="n">
        <x:f>MAX(H94-D94,0)</x:f>
        <x:v>0</x:v>
      </x:c>
      <x:c r="M94" s="24"/>
      <x:c r="O94" s="24"/>
      <x:c r="P94" s="24" t="n">
        <x:f>K94*M94</x:f>
        <x:v>0</x:v>
      </x:c>
      <x:c r="Q94" s="24" t="n">
        <x:f>J94*M94</x:f>
        <x:v>0</x:v>
      </x:c>
      <x:c r="R94" s="24" t="n">
        <x:f>(K94+J94)*O94</x:f>
        <x:v>0</x:v>
      </x:c>
      <x:c r="V94" s="26"/>
    </x:row>
    <x:row r="95">
      <x:c r="I95" t="n">
        <x:f>H95-D95</x:f>
        <x:v>0</x:v>
      </x:c>
      <x:c r="K95" t="n">
        <x:f>MAX(D95-H95,0)</x:f>
        <x:v>0</x:v>
      </x:c>
      <x:c r="L95" t="n">
        <x:f>MAX(H95-D95,0)</x:f>
        <x:v>0</x:v>
      </x:c>
      <x:c r="M95" s="24"/>
      <x:c r="O95" s="24"/>
      <x:c r="P95" s="24" t="n">
        <x:f>K95*M95</x:f>
        <x:v>0</x:v>
      </x:c>
      <x:c r="Q95" s="24" t="n">
        <x:f>J95*M95</x:f>
        <x:v>0</x:v>
      </x:c>
      <x:c r="R95" s="24" t="n">
        <x:f>(K95+J95)*O95</x:f>
        <x:v>0</x:v>
      </x:c>
      <x:c r="V95" s="26"/>
    </x:row>
    <x:row r="96">
      <x:c r="I96" t="n">
        <x:f>H96-D96</x:f>
        <x:v>0</x:v>
      </x:c>
      <x:c r="K96" t="n">
        <x:f>MAX(D96-H96,0)</x:f>
        <x:v>0</x:v>
      </x:c>
      <x:c r="L96" t="n">
        <x:f>MAX(H96-D96,0)</x:f>
        <x:v>0</x:v>
      </x:c>
      <x:c r="M96" s="24"/>
      <x:c r="O96" s="24"/>
      <x:c r="P96" s="24" t="n">
        <x:f>K96*M96</x:f>
        <x:v>0</x:v>
      </x:c>
      <x:c r="Q96" s="24" t="n">
        <x:f>J96*M96</x:f>
        <x:v>0</x:v>
      </x:c>
      <x:c r="R96" s="24" t="n">
        <x:f>(K96+J96)*O96</x:f>
        <x:v>0</x:v>
      </x:c>
      <x:c r="V96" s="26"/>
    </x:row>
    <x:row r="97">
      <x:c r="I97" t="n">
        <x:f>H97-D97</x:f>
        <x:v>0</x:v>
      </x:c>
      <x:c r="K97" t="n">
        <x:f>MAX(D97-H97,0)</x:f>
        <x:v>0</x:v>
      </x:c>
      <x:c r="L97" t="n">
        <x:f>MAX(H97-D97,0)</x:f>
        <x:v>0</x:v>
      </x:c>
      <x:c r="M97" s="24"/>
      <x:c r="O97" s="24"/>
      <x:c r="P97" s="24" t="n">
        <x:f>K97*M97</x:f>
        <x:v>0</x:v>
      </x:c>
      <x:c r="Q97" s="24" t="n">
        <x:f>J97*M97</x:f>
        <x:v>0</x:v>
      </x:c>
      <x:c r="R97" s="24" t="n">
        <x:f>(K97+J97)*O97</x:f>
        <x:v>0</x:v>
      </x:c>
      <x:c r="V97" s="26"/>
    </x:row>
    <x:row r="98">
      <x:c r="I98" t="n">
        <x:f>H98-D98</x:f>
        <x:v>0</x:v>
      </x:c>
      <x:c r="K98" t="n">
        <x:f>MAX(D98-H98,0)</x:f>
        <x:v>0</x:v>
      </x:c>
      <x:c r="L98" t="n">
        <x:f>MAX(H98-D98,0)</x:f>
        <x:v>0</x:v>
      </x:c>
      <x:c r="M98" s="24"/>
      <x:c r="O98" s="24"/>
      <x:c r="P98" s="24" t="n">
        <x:f>K98*M98</x:f>
        <x:v>0</x:v>
      </x:c>
      <x:c r="Q98" s="24" t="n">
        <x:f>J98*M98</x:f>
        <x:v>0</x:v>
      </x:c>
      <x:c r="R98" s="24" t="n">
        <x:f>(K98+J98)*O98</x:f>
        <x:v>0</x:v>
      </x:c>
      <x:c r="V98" s="26"/>
    </x:row>
    <x:row r="99">
      <x:c r="I99" t="n">
        <x:f>H99-D99</x:f>
        <x:v>0</x:v>
      </x:c>
      <x:c r="K99" t="n">
        <x:f>MAX(D99-H99,0)</x:f>
        <x:v>0</x:v>
      </x:c>
      <x:c r="L99" t="n">
        <x:f>MAX(H99-D99,0)</x:f>
        <x:v>0</x:v>
      </x:c>
      <x:c r="M99" s="24"/>
      <x:c r="O99" s="24"/>
      <x:c r="P99" s="24" t="n">
        <x:f>K99*M99</x:f>
        <x:v>0</x:v>
      </x:c>
      <x:c r="Q99" s="24" t="n">
        <x:f>J99*M99</x:f>
        <x:v>0</x:v>
      </x:c>
      <x:c r="R99" s="24" t="n">
        <x:f>(K99+J99)*O99</x:f>
        <x:v>0</x:v>
      </x:c>
      <x:c r="V99" s="26"/>
    </x:row>
    <x:row r="100">
      <x:c r="I100" t="n">
        <x:f>H100-D100</x:f>
        <x:v>0</x:v>
      </x:c>
      <x:c r="K100" t="n">
        <x:f>MAX(D100-H100,0)</x:f>
        <x:v>0</x:v>
      </x:c>
      <x:c r="L100" t="n">
        <x:f>MAX(H100-D100,0)</x:f>
        <x:v>0</x:v>
      </x:c>
      <x:c r="M100" s="24"/>
      <x:c r="O100" s="24"/>
      <x:c r="P100" s="24" t="n">
        <x:f>K100*M100</x:f>
        <x:v>0</x:v>
      </x:c>
      <x:c r="Q100" s="24" t="n">
        <x:f>J100*M100</x:f>
        <x:v>0</x:v>
      </x:c>
      <x:c r="R100" s="24" t="n">
        <x:f>(K100+J100)*O100</x:f>
        <x:v>0</x:v>
      </x:c>
      <x:c r="V100" s="26"/>
    </x:row>
    <x:row r="101">
      <x:c r="I101" t="n">
        <x:f>H101-D101</x:f>
        <x:v>0</x:v>
      </x:c>
      <x:c r="K101" t="n">
        <x:f>MAX(D101-H101,0)</x:f>
        <x:v>0</x:v>
      </x:c>
      <x:c r="L101" t="n">
        <x:f>MAX(H101-D101,0)</x:f>
        <x:v>0</x:v>
      </x:c>
      <x:c r="M101" s="24"/>
      <x:c r="O101" s="24"/>
      <x:c r="P101" s="24" t="n">
        <x:f>K101*M101</x:f>
        <x:v>0</x:v>
      </x:c>
      <x:c r="Q101" s="24" t="n">
        <x:f>J101*M101</x:f>
        <x:v>0</x:v>
      </x:c>
      <x:c r="R101" s="24" t="n">
        <x:f>(K101+J101)*O101</x:f>
        <x:v>0</x:v>
      </x:c>
      <x:c r="V101" s="26"/>
    </x:row>
    <x:row r="102">
      <x:c r="I102" t="n">
        <x:f>H102-D102</x:f>
        <x:v>0</x:v>
      </x:c>
      <x:c r="K102" t="n">
        <x:f>MAX(D102-H102,0)</x:f>
        <x:v>0</x:v>
      </x:c>
      <x:c r="L102" t="n">
        <x:f>MAX(H102-D102,0)</x:f>
        <x:v>0</x:v>
      </x:c>
      <x:c r="M102" s="24"/>
      <x:c r="O102" s="24"/>
      <x:c r="P102" s="24" t="n">
        <x:f>K102*M102</x:f>
        <x:v>0</x:v>
      </x:c>
      <x:c r="Q102" s="24" t="n">
        <x:f>J102*M102</x:f>
        <x:v>0</x:v>
      </x:c>
      <x:c r="R102" s="24" t="n">
        <x:f>(K102+J102)*O102</x:f>
        <x:v>0</x:v>
      </x:c>
      <x:c r="V102" s="26"/>
    </x:row>
    <x:row r="103">
      <x:c r="I103" t="n">
        <x:f>H103-D103</x:f>
        <x:v>0</x:v>
      </x:c>
      <x:c r="K103" t="n">
        <x:f>MAX(D103-H103,0)</x:f>
        <x:v>0</x:v>
      </x:c>
      <x:c r="L103" t="n">
        <x:f>MAX(H103-D103,0)</x:f>
        <x:v>0</x:v>
      </x:c>
      <x:c r="M103" s="24"/>
      <x:c r="O103" s="24"/>
      <x:c r="P103" s="24" t="n">
        <x:f>K103*M103</x:f>
        <x:v>0</x:v>
      </x:c>
      <x:c r="Q103" s="24" t="n">
        <x:f>J103*M103</x:f>
        <x:v>0</x:v>
      </x:c>
      <x:c r="R103" s="24" t="n">
        <x:f>(K103+J103)*O103</x:f>
        <x:v>0</x:v>
      </x:c>
      <x:c r="V103" s="26"/>
    </x:row>
    <x:row r="104">
      <x:c r="I104" t="n">
        <x:f>H104-D104</x:f>
        <x:v>0</x:v>
      </x:c>
      <x:c r="K104" t="n">
        <x:f>MAX(D104-H104,0)</x:f>
        <x:v>0</x:v>
      </x:c>
      <x:c r="L104" t="n">
        <x:f>MAX(H104-D104,0)</x:f>
        <x:v>0</x:v>
      </x:c>
      <x:c r="M104" s="24"/>
      <x:c r="O104" s="24"/>
      <x:c r="P104" s="24" t="n">
        <x:f>K104*M104</x:f>
        <x:v>0</x:v>
      </x:c>
      <x:c r="Q104" s="24" t="n">
        <x:f>J104*M104</x:f>
        <x:v>0</x:v>
      </x:c>
      <x:c r="R104" s="24" t="n">
        <x:f>(K104+J104)*O104</x:f>
        <x:v>0</x:v>
      </x:c>
      <x:c r="V104" s="26"/>
    </x:row>
    <x:row r="105">
      <x:c r="I105" t="n">
        <x:f>H105-D105</x:f>
        <x:v>0</x:v>
      </x:c>
      <x:c r="K105" t="n">
        <x:f>MAX(D105-H105,0)</x:f>
        <x:v>0</x:v>
      </x:c>
      <x:c r="L105" t="n">
        <x:f>MAX(H105-D105,0)</x:f>
        <x:v>0</x:v>
      </x:c>
      <x:c r="M105" s="24"/>
      <x:c r="O105" s="24"/>
      <x:c r="P105" s="24" t="n">
        <x:f>K105*M105</x:f>
        <x:v>0</x:v>
      </x:c>
      <x:c r="Q105" s="24" t="n">
        <x:f>J105*M105</x:f>
        <x:v>0</x:v>
      </x:c>
      <x:c r="R105" s="24" t="n">
        <x:f>(K105+J105)*O105</x:f>
        <x:v>0</x:v>
      </x:c>
      <x:c r="V105" s="26"/>
    </x:row>
    <x:row r="106">
      <x:c r="I106" t="n">
        <x:f>H106-D106</x:f>
        <x:v>0</x:v>
      </x:c>
      <x:c r="K106" t="n">
        <x:f>MAX(D106-H106,0)</x:f>
        <x:v>0</x:v>
      </x:c>
      <x:c r="L106" t="n">
        <x:f>MAX(H106-D106,0)</x:f>
        <x:v>0</x:v>
      </x:c>
      <x:c r="M106" s="24"/>
      <x:c r="O106" s="24"/>
      <x:c r="P106" s="24" t="n">
        <x:f>K106*M106</x:f>
        <x:v>0</x:v>
      </x:c>
      <x:c r="Q106" s="24" t="n">
        <x:f>J106*M106</x:f>
        <x:v>0</x:v>
      </x:c>
      <x:c r="R106" s="24" t="n">
        <x:f>(K106+J106)*O106</x:f>
        <x:v>0</x:v>
      </x:c>
      <x:c r="V106" s="26"/>
    </x:row>
    <x:row r="107">
      <x:c r="I107" t="n">
        <x:f>H107-D107</x:f>
        <x:v>0</x:v>
      </x:c>
      <x:c r="K107" t="n">
        <x:f>MAX(D107-H107,0)</x:f>
        <x:v>0</x:v>
      </x:c>
      <x:c r="L107" t="n">
        <x:f>MAX(H107-D107,0)</x:f>
        <x:v>0</x:v>
      </x:c>
      <x:c r="M107" s="24"/>
      <x:c r="O107" s="24"/>
      <x:c r="P107" s="24" t="n">
        <x:f>K107*M107</x:f>
        <x:v>0</x:v>
      </x:c>
      <x:c r="Q107" s="24" t="n">
        <x:f>J107*M107</x:f>
        <x:v>0</x:v>
      </x:c>
      <x:c r="R107" s="24" t="n">
        <x:f>(K107+J107)*O107</x:f>
        <x:v>0</x:v>
      </x:c>
      <x:c r="V107" s="26"/>
    </x:row>
    <x:row r="108">
      <x:c r="I108" t="n">
        <x:f>H108-D108</x:f>
        <x:v>0</x:v>
      </x:c>
      <x:c r="K108" t="n">
        <x:f>MAX(D108-H108,0)</x:f>
        <x:v>0</x:v>
      </x:c>
      <x:c r="L108" t="n">
        <x:f>MAX(H108-D108,0)</x:f>
        <x:v>0</x:v>
      </x:c>
      <x:c r="M108" s="24"/>
      <x:c r="O108" s="24"/>
      <x:c r="P108" s="24" t="n">
        <x:f>K108*M108</x:f>
        <x:v>0</x:v>
      </x:c>
      <x:c r="Q108" s="24" t="n">
        <x:f>J108*M108</x:f>
        <x:v>0</x:v>
      </x:c>
      <x:c r="R108" s="24" t="n">
        <x:f>(K108+J108)*O108</x:f>
        <x:v>0</x:v>
      </x:c>
      <x:c r="V108" s="26"/>
    </x:row>
    <x:row r="109">
      <x:c r="I109" t="n">
        <x:f>H109-D109</x:f>
        <x:v>0</x:v>
      </x:c>
      <x:c r="K109" t="n">
        <x:f>MAX(D109-H109,0)</x:f>
        <x:v>0</x:v>
      </x:c>
      <x:c r="L109" t="n">
        <x:f>MAX(H109-D109,0)</x:f>
        <x:v>0</x:v>
      </x:c>
      <x:c r="M109" s="24"/>
      <x:c r="O109" s="24"/>
      <x:c r="P109" s="24" t="n">
        <x:f>K109*M109</x:f>
        <x:v>0</x:v>
      </x:c>
      <x:c r="Q109" s="24" t="n">
        <x:f>J109*M109</x:f>
        <x:v>0</x:v>
      </x:c>
      <x:c r="R109" s="24" t="n">
        <x:f>(K109+J109)*O109</x:f>
        <x:v>0</x:v>
      </x:c>
      <x:c r="V109" s="26"/>
    </x:row>
    <x:row r="110">
      <x:c r="I110" t="n">
        <x:f>H110-D110</x:f>
        <x:v>0</x:v>
      </x:c>
      <x:c r="K110" t="n">
        <x:f>MAX(D110-H110,0)</x:f>
        <x:v>0</x:v>
      </x:c>
      <x:c r="L110" t="n">
        <x:f>MAX(H110-D110,0)</x:f>
        <x:v>0</x:v>
      </x:c>
      <x:c r="M110" s="24"/>
      <x:c r="O110" s="24"/>
      <x:c r="P110" s="24" t="n">
        <x:f>K110*M110</x:f>
        <x:v>0</x:v>
      </x:c>
      <x:c r="Q110" s="24" t="n">
        <x:f>J110*M110</x:f>
        <x:v>0</x:v>
      </x:c>
      <x:c r="R110" s="24" t="n">
        <x:f>(K110+J110)*O110</x:f>
        <x:v>0</x:v>
      </x:c>
      <x:c r="V110" s="26"/>
    </x:row>
    <x:row r="111">
      <x:c r="I111" t="n">
        <x:f>H111-D111</x:f>
        <x:v>0</x:v>
      </x:c>
      <x:c r="K111" t="n">
        <x:f>MAX(D111-H111,0)</x:f>
        <x:v>0</x:v>
      </x:c>
      <x:c r="L111" t="n">
        <x:f>MAX(H111-D111,0)</x:f>
        <x:v>0</x:v>
      </x:c>
      <x:c r="M111" s="24"/>
      <x:c r="O111" s="24"/>
      <x:c r="P111" s="24" t="n">
        <x:f>K111*M111</x:f>
        <x:v>0</x:v>
      </x:c>
      <x:c r="Q111" s="24" t="n">
        <x:f>J111*M111</x:f>
        <x:v>0</x:v>
      </x:c>
      <x:c r="R111" s="24" t="n">
        <x:f>(K111+J111)*O111</x:f>
        <x:v>0</x:v>
      </x:c>
      <x:c r="V111" s="26"/>
    </x:row>
    <x:row r="112">
      <x:c r="I112" t="n">
        <x:f>H112-D112</x:f>
        <x:v>0</x:v>
      </x:c>
      <x:c r="K112" t="n">
        <x:f>MAX(D112-H112,0)</x:f>
        <x:v>0</x:v>
      </x:c>
      <x:c r="L112" t="n">
        <x:f>MAX(H112-D112,0)</x:f>
        <x:v>0</x:v>
      </x:c>
      <x:c r="M112" s="24"/>
      <x:c r="O112" s="24"/>
      <x:c r="P112" s="24" t="n">
        <x:f>K112*M112</x:f>
        <x:v>0</x:v>
      </x:c>
      <x:c r="Q112" s="24" t="n">
        <x:f>J112*M112</x:f>
        <x:v>0</x:v>
      </x:c>
      <x:c r="R112" s="24" t="n">
        <x:f>(K112+J112)*O112</x:f>
        <x:v>0</x:v>
      </x:c>
      <x:c r="V112" s="26"/>
    </x:row>
    <x:row r="113">
      <x:c r="I113" t="n">
        <x:f>H113-D113</x:f>
        <x:v>0</x:v>
      </x:c>
      <x:c r="K113" t="n">
        <x:f>MAX(D113-H113,0)</x:f>
        <x:v>0</x:v>
      </x:c>
      <x:c r="L113" t="n">
        <x:f>MAX(H113-D113,0)</x:f>
        <x:v>0</x:v>
      </x:c>
      <x:c r="M113" s="24"/>
      <x:c r="O113" s="24"/>
      <x:c r="P113" s="24" t="n">
        <x:f>K113*M113</x:f>
        <x:v>0</x:v>
      </x:c>
      <x:c r="Q113" s="24" t="n">
        <x:f>J113*M113</x:f>
        <x:v>0</x:v>
      </x:c>
      <x:c r="R113" s="24" t="n">
        <x:f>(K113+J113)*O113</x:f>
        <x:v>0</x:v>
      </x:c>
      <x:c r="V113" s="26"/>
    </x:row>
    <x:row r="114">
      <x:c r="I114" t="n">
        <x:f>H114-D114</x:f>
        <x:v>0</x:v>
      </x:c>
      <x:c r="K114" t="n">
        <x:f>MAX(D114-H114,0)</x:f>
        <x:v>0</x:v>
      </x:c>
      <x:c r="L114" t="n">
        <x:f>MAX(H114-D114,0)</x:f>
        <x:v>0</x:v>
      </x:c>
      <x:c r="M114" s="24"/>
      <x:c r="O114" s="24"/>
      <x:c r="P114" s="24" t="n">
        <x:f>K114*M114</x:f>
        <x:v>0</x:v>
      </x:c>
      <x:c r="Q114" s="24" t="n">
        <x:f>J114*M114</x:f>
        <x:v>0</x:v>
      </x:c>
      <x:c r="R114" s="24" t="n">
        <x:f>(K114+J114)*O114</x:f>
        <x:v>0</x:v>
      </x:c>
      <x:c r="V114" s="26"/>
    </x:row>
    <x:row r="115">
      <x:c r="I115" t="n">
        <x:f>H115-D115</x:f>
        <x:v>0</x:v>
      </x:c>
      <x:c r="K115" t="n">
        <x:f>MAX(D115-H115,0)</x:f>
        <x:v>0</x:v>
      </x:c>
      <x:c r="L115" t="n">
        <x:f>MAX(H115-D115,0)</x:f>
        <x:v>0</x:v>
      </x:c>
      <x:c r="M115" s="24"/>
      <x:c r="O115" s="24"/>
      <x:c r="P115" s="24" t="n">
        <x:f>K115*M115</x:f>
        <x:v>0</x:v>
      </x:c>
      <x:c r="Q115" s="24" t="n">
        <x:f>J115*M115</x:f>
        <x:v>0</x:v>
      </x:c>
      <x:c r="R115" s="24" t="n">
        <x:f>(K115+J115)*O115</x:f>
        <x:v>0</x:v>
      </x:c>
      <x:c r="V115" s="26"/>
    </x:row>
    <x:row r="116">
      <x:c r="I116" t="n">
        <x:f>H116-D116</x:f>
        <x:v>0</x:v>
      </x:c>
      <x:c r="K116" t="n">
        <x:f>MAX(D116-H116,0)</x:f>
        <x:v>0</x:v>
      </x:c>
      <x:c r="L116" t="n">
        <x:f>MAX(H116-D116,0)</x:f>
        <x:v>0</x:v>
      </x:c>
      <x:c r="M116" s="24"/>
      <x:c r="O116" s="24"/>
      <x:c r="P116" s="24" t="n">
        <x:f>K116*M116</x:f>
        <x:v>0</x:v>
      </x:c>
      <x:c r="Q116" s="24" t="n">
        <x:f>J116*M116</x:f>
        <x:v>0</x:v>
      </x:c>
      <x:c r="R116" s="24" t="n">
        <x:f>(K116+J116)*O116</x:f>
        <x:v>0</x:v>
      </x:c>
      <x:c r="V116" s="26"/>
    </x:row>
    <x:row r="117">
      <x:c r="I117" t="n">
        <x:f>H117-D117</x:f>
        <x:v>0</x:v>
      </x:c>
      <x:c r="K117" t="n">
        <x:f>MAX(D117-H117,0)</x:f>
        <x:v>0</x:v>
      </x:c>
      <x:c r="L117" t="n">
        <x:f>MAX(H117-D117,0)</x:f>
        <x:v>0</x:v>
      </x:c>
      <x:c r="M117" s="24"/>
      <x:c r="O117" s="24"/>
      <x:c r="P117" s="24" t="n">
        <x:f>K117*M117</x:f>
        <x:v>0</x:v>
      </x:c>
      <x:c r="Q117" s="24" t="n">
        <x:f>J117*M117</x:f>
        <x:v>0</x:v>
      </x:c>
      <x:c r="R117" s="24" t="n">
        <x:f>(K117+J117)*O117</x:f>
        <x:v>0</x:v>
      </x:c>
      <x:c r="V117" s="26"/>
    </x:row>
    <x:row r="118">
      <x:c r="I118" t="n">
        <x:f>H118-D118</x:f>
        <x:v>0</x:v>
      </x:c>
      <x:c r="K118" t="n">
        <x:f>MAX(D118-H118,0)</x:f>
        <x:v>0</x:v>
      </x:c>
      <x:c r="L118" t="n">
        <x:f>MAX(H118-D118,0)</x:f>
        <x:v>0</x:v>
      </x:c>
      <x:c r="M118" s="24"/>
      <x:c r="O118" s="24"/>
      <x:c r="P118" s="24" t="n">
        <x:f>K118*M118</x:f>
        <x:v>0</x:v>
      </x:c>
      <x:c r="Q118" s="24" t="n">
        <x:f>J118*M118</x:f>
        <x:v>0</x:v>
      </x:c>
      <x:c r="R118" s="24" t="n">
        <x:f>(K118+J118)*O118</x:f>
        <x:v>0</x:v>
      </x:c>
      <x:c r="V118" s="26"/>
    </x:row>
    <x:row r="119">
      <x:c r="I119" t="n">
        <x:f>H119-D119</x:f>
        <x:v>0</x:v>
      </x:c>
      <x:c r="K119" t="n">
        <x:f>MAX(D119-H119,0)</x:f>
        <x:v>0</x:v>
      </x:c>
      <x:c r="L119" t="n">
        <x:f>MAX(H119-D119,0)</x:f>
        <x:v>0</x:v>
      </x:c>
      <x:c r="M119" s="24"/>
      <x:c r="O119" s="24"/>
      <x:c r="P119" s="24" t="n">
        <x:f>K119*M119</x:f>
        <x:v>0</x:v>
      </x:c>
      <x:c r="Q119" s="24" t="n">
        <x:f>J119*M119</x:f>
        <x:v>0</x:v>
      </x:c>
      <x:c r="R119" s="24" t="n">
        <x:f>(K119+J119)*O119</x:f>
        <x:v>0</x:v>
      </x:c>
      <x:c r="V119" s="26"/>
    </x:row>
    <x:row r="120">
      <x:c r="I120" t="n">
        <x:f>H120-D120</x:f>
        <x:v>0</x:v>
      </x:c>
      <x:c r="K120" t="n">
        <x:f>MAX(D120-H120,0)</x:f>
        <x:v>0</x:v>
      </x:c>
      <x:c r="L120" t="n">
        <x:f>MAX(H120-D120,0)</x:f>
        <x:v>0</x:v>
      </x:c>
      <x:c r="M120" s="24"/>
      <x:c r="O120" s="24"/>
      <x:c r="P120" s="24" t="n">
        <x:f>K120*M120</x:f>
        <x:v>0</x:v>
      </x:c>
      <x:c r="Q120" s="24" t="n">
        <x:f>J120*M120</x:f>
        <x:v>0</x:v>
      </x:c>
      <x:c r="R120" s="24" t="n">
        <x:f>(K120+J120)*O120</x:f>
        <x:v>0</x:v>
      </x:c>
      <x:c r="V120" s="26"/>
    </x:row>
    <x:row r="121">
      <x:c r="I121" t="n">
        <x:f>H121-D121</x:f>
        <x:v>0</x:v>
      </x:c>
      <x:c r="K121" t="n">
        <x:f>MAX(D121-H121,0)</x:f>
        <x:v>0</x:v>
      </x:c>
      <x:c r="L121" t="n">
        <x:f>MAX(H121-D121,0)</x:f>
        <x:v>0</x:v>
      </x:c>
      <x:c r="M121" s="24"/>
      <x:c r="O121" s="24"/>
      <x:c r="P121" s="24" t="n">
        <x:f>K121*M121</x:f>
        <x:v>0</x:v>
      </x:c>
      <x:c r="Q121" s="24" t="n">
        <x:f>J121*M121</x:f>
        <x:v>0</x:v>
      </x:c>
      <x:c r="R121" s="24" t="n">
        <x:f>(K121+J121)*O121</x:f>
        <x:v>0</x:v>
      </x:c>
      <x:c r="V121" s="26"/>
    </x:row>
    <x:row r="122">
      <x:c r="I122" t="n">
        <x:f>H122-D122</x:f>
        <x:v>0</x:v>
      </x:c>
      <x:c r="K122" t="n">
        <x:f>MAX(D122-H122,0)</x:f>
        <x:v>0</x:v>
      </x:c>
      <x:c r="L122" t="n">
        <x:f>MAX(H122-D122,0)</x:f>
        <x:v>0</x:v>
      </x:c>
      <x:c r="M122" s="24"/>
      <x:c r="O122" s="24"/>
      <x:c r="P122" s="24" t="n">
        <x:f>K122*M122</x:f>
        <x:v>0</x:v>
      </x:c>
      <x:c r="Q122" s="24" t="n">
        <x:f>J122*M122</x:f>
        <x:v>0</x:v>
      </x:c>
      <x:c r="R122" s="24" t="n">
        <x:f>(K122+J122)*O122</x:f>
        <x:v>0</x:v>
      </x:c>
      <x:c r="V122" s="26"/>
    </x:row>
    <x:row r="123">
      <x:c r="I123" t="n">
        <x:f>H123-D123</x:f>
        <x:v>0</x:v>
      </x:c>
      <x:c r="K123" t="n">
        <x:f>MAX(D123-H123,0)</x:f>
        <x:v>0</x:v>
      </x:c>
      <x:c r="L123" t="n">
        <x:f>MAX(H123-D123,0)</x:f>
        <x:v>0</x:v>
      </x:c>
      <x:c r="M123" s="24"/>
      <x:c r="O123" s="24"/>
      <x:c r="P123" s="24" t="n">
        <x:f>K123*M123</x:f>
        <x:v>0</x:v>
      </x:c>
      <x:c r="Q123" s="24" t="n">
        <x:f>J123*M123</x:f>
        <x:v>0</x:v>
      </x:c>
      <x:c r="R123" s="24" t="n">
        <x:f>(K123+J123)*O123</x:f>
        <x:v>0</x:v>
      </x:c>
      <x:c r="V123" s="26"/>
    </x:row>
    <x:row r="124">
      <x:c r="I124" t="n">
        <x:f>H124-D124</x:f>
        <x:v>0</x:v>
      </x:c>
      <x:c r="K124" t="n">
        <x:f>MAX(D124-H124,0)</x:f>
        <x:v>0</x:v>
      </x:c>
      <x:c r="L124" t="n">
        <x:f>MAX(H124-D124,0)</x:f>
        <x:v>0</x:v>
      </x:c>
      <x:c r="M124" s="24"/>
      <x:c r="O124" s="24"/>
      <x:c r="P124" s="24" t="n">
        <x:f>K124*M124</x:f>
        <x:v>0</x:v>
      </x:c>
      <x:c r="Q124" s="24" t="n">
        <x:f>J124*M124</x:f>
        <x:v>0</x:v>
      </x:c>
      <x:c r="R124" s="24" t="n">
        <x:f>(K124+J124)*O124</x:f>
        <x:v>0</x:v>
      </x:c>
      <x:c r="V124" s="26"/>
    </x:row>
    <x:row r="125">
      <x:c r="I125" t="n">
        <x:f>H125-D125</x:f>
        <x:v>0</x:v>
      </x:c>
      <x:c r="K125" t="n">
        <x:f>MAX(D125-H125,0)</x:f>
        <x:v>0</x:v>
      </x:c>
      <x:c r="L125" t="n">
        <x:f>MAX(H125-D125,0)</x:f>
        <x:v>0</x:v>
      </x:c>
      <x:c r="M125" s="24"/>
      <x:c r="O125" s="24"/>
      <x:c r="P125" s="24" t="n">
        <x:f>K125*M125</x:f>
        <x:v>0</x:v>
      </x:c>
      <x:c r="Q125" s="24" t="n">
        <x:f>J125*M125</x:f>
        <x:v>0</x:v>
      </x:c>
      <x:c r="R125" s="24" t="n">
        <x:f>(K125+J125)*O125</x:f>
        <x:v>0</x:v>
      </x:c>
      <x:c r="V125" s="26"/>
    </x:row>
    <x:row r="126">
      <x:c r="I126" t="n">
        <x:f>H126-D126</x:f>
        <x:v>0</x:v>
      </x:c>
      <x:c r="K126" t="n">
        <x:f>MAX(D126-H126,0)</x:f>
        <x:v>0</x:v>
      </x:c>
      <x:c r="L126" t="n">
        <x:f>MAX(H126-D126,0)</x:f>
        <x:v>0</x:v>
      </x:c>
      <x:c r="M126" s="24"/>
      <x:c r="O126" s="24"/>
      <x:c r="P126" s="24" t="n">
        <x:f>K126*M126</x:f>
        <x:v>0</x:v>
      </x:c>
      <x:c r="Q126" s="24" t="n">
        <x:f>J126*M126</x:f>
        <x:v>0</x:v>
      </x:c>
      <x:c r="R126" s="24" t="n">
        <x:f>(K126+J126)*O126</x:f>
        <x:v>0</x:v>
      </x:c>
      <x:c r="V126" s="26"/>
    </x:row>
    <x:row r="127">
      <x:c r="I127" t="n">
        <x:f>H127-D127</x:f>
        <x:v>0</x:v>
      </x:c>
      <x:c r="K127" t="n">
        <x:f>MAX(D127-H127,0)</x:f>
        <x:v>0</x:v>
      </x:c>
      <x:c r="L127" t="n">
        <x:f>MAX(H127-D127,0)</x:f>
        <x:v>0</x:v>
      </x:c>
      <x:c r="M127" s="24"/>
      <x:c r="O127" s="24"/>
      <x:c r="P127" s="24" t="n">
        <x:f>K127*M127</x:f>
        <x:v>0</x:v>
      </x:c>
      <x:c r="Q127" s="24" t="n">
        <x:f>J127*M127</x:f>
        <x:v>0</x:v>
      </x:c>
      <x:c r="R127" s="24" t="n">
        <x:f>(K127+J127)*O127</x:f>
        <x:v>0</x:v>
      </x:c>
      <x:c r="V127" s="26"/>
    </x:row>
    <x:row r="128">
      <x:c r="I128" t="n">
        <x:f>H128-D128</x:f>
        <x:v>0</x:v>
      </x:c>
      <x:c r="K128" t="n">
        <x:f>MAX(D128-H128,0)</x:f>
        <x:v>0</x:v>
      </x:c>
      <x:c r="L128" t="n">
        <x:f>MAX(H128-D128,0)</x:f>
        <x:v>0</x:v>
      </x:c>
      <x:c r="M128" s="24"/>
      <x:c r="O128" s="24"/>
      <x:c r="P128" s="24" t="n">
        <x:f>K128*M128</x:f>
        <x:v>0</x:v>
      </x:c>
      <x:c r="Q128" s="24" t="n">
        <x:f>J128*M128</x:f>
        <x:v>0</x:v>
      </x:c>
      <x:c r="R128" s="24" t="n">
        <x:f>(K128+J128)*O128</x:f>
        <x:v>0</x:v>
      </x:c>
      <x:c r="V128" s="26"/>
    </x:row>
    <x:row r="129">
      <x:c r="I129" t="n">
        <x:f>H129-D129</x:f>
        <x:v>0</x:v>
      </x:c>
      <x:c r="K129" t="n">
        <x:f>MAX(D129-H129,0)</x:f>
        <x:v>0</x:v>
      </x:c>
      <x:c r="L129" t="n">
        <x:f>MAX(H129-D129,0)</x:f>
        <x:v>0</x:v>
      </x:c>
      <x:c r="M129" s="24"/>
      <x:c r="O129" s="24"/>
      <x:c r="P129" s="24" t="n">
        <x:f>K129*M129</x:f>
        <x:v>0</x:v>
      </x:c>
      <x:c r="Q129" s="24" t="n">
        <x:f>J129*M129</x:f>
        <x:v>0</x:v>
      </x:c>
      <x:c r="R129" s="24" t="n">
        <x:f>(K129+J129)*O129</x:f>
        <x:v>0</x:v>
      </x:c>
      <x:c r="V129" s="26"/>
    </x:row>
    <x:row r="130">
      <x:c r="I130" t="n">
        <x:f>H130-D130</x:f>
        <x:v>0</x:v>
      </x:c>
      <x:c r="K130" t="n">
        <x:f>MAX(D130-H130,0)</x:f>
        <x:v>0</x:v>
      </x:c>
      <x:c r="L130" t="n">
        <x:f>MAX(H130-D130,0)</x:f>
        <x:v>0</x:v>
      </x:c>
      <x:c r="M130" s="24"/>
      <x:c r="O130" s="24"/>
      <x:c r="P130" s="24" t="n">
        <x:f>K130*M130</x:f>
        <x:v>0</x:v>
      </x:c>
      <x:c r="Q130" s="24" t="n">
        <x:f>J130*M130</x:f>
        <x:v>0</x:v>
      </x:c>
      <x:c r="R130" s="24" t="n">
        <x:f>(K130+J130)*O130</x:f>
        <x:v>0</x:v>
      </x:c>
      <x:c r="V130" s="26"/>
    </x:row>
    <x:row r="131">
      <x:c r="I131" t="n">
        <x:f>H131-D131</x:f>
        <x:v>0</x:v>
      </x:c>
      <x:c r="K131" t="n">
        <x:f>MAX(D131-H131,0)</x:f>
        <x:v>0</x:v>
      </x:c>
      <x:c r="L131" t="n">
        <x:f>MAX(H131-D131,0)</x:f>
        <x:v>0</x:v>
      </x:c>
      <x:c r="M131" s="24"/>
      <x:c r="O131" s="24"/>
      <x:c r="P131" s="24" t="n">
        <x:f>K131*M131</x:f>
        <x:v>0</x:v>
      </x:c>
      <x:c r="Q131" s="24" t="n">
        <x:f>J131*M131</x:f>
        <x:v>0</x:v>
      </x:c>
      <x:c r="R131" s="24" t="n">
        <x:f>(K131+J131)*O131</x:f>
        <x:v>0</x:v>
      </x:c>
      <x:c r="V131" s="26"/>
    </x:row>
    <x:row r="132">
      <x:c r="I132" t="n">
        <x:f>H132-D132</x:f>
        <x:v>0</x:v>
      </x:c>
      <x:c r="K132" t="n">
        <x:f>MAX(D132-H132,0)</x:f>
        <x:v>0</x:v>
      </x:c>
      <x:c r="L132" t="n">
        <x:f>MAX(H132-D132,0)</x:f>
        <x:v>0</x:v>
      </x:c>
      <x:c r="M132" s="24"/>
      <x:c r="O132" s="24"/>
      <x:c r="P132" s="24" t="n">
        <x:f>K132*M132</x:f>
        <x:v>0</x:v>
      </x:c>
      <x:c r="Q132" s="24" t="n">
        <x:f>J132*M132</x:f>
        <x:v>0</x:v>
      </x:c>
      <x:c r="R132" s="24" t="n">
        <x:f>(K132+J132)*O132</x:f>
        <x:v>0</x:v>
      </x:c>
      <x:c r="V132" s="26"/>
    </x:row>
    <x:row r="133">
      <x:c r="I133" t="n">
        <x:f>H133-D133</x:f>
        <x:v>0</x:v>
      </x:c>
      <x:c r="K133" t="n">
        <x:f>MAX(D133-H133,0)</x:f>
        <x:v>0</x:v>
      </x:c>
      <x:c r="L133" t="n">
        <x:f>MAX(H133-D133,0)</x:f>
        <x:v>0</x:v>
      </x:c>
      <x:c r="M133" s="24"/>
      <x:c r="O133" s="24"/>
      <x:c r="P133" s="24" t="n">
        <x:f>K133*M133</x:f>
        <x:v>0</x:v>
      </x:c>
      <x:c r="Q133" s="24" t="n">
        <x:f>J133*M133</x:f>
        <x:v>0</x:v>
      </x:c>
      <x:c r="R133" s="24" t="n">
        <x:f>(K133+J133)*O133</x:f>
        <x:v>0</x:v>
      </x:c>
      <x:c r="V133" s="26"/>
    </x:row>
    <x:row r="134">
      <x:c r="I134" t="n">
        <x:f>H134-D134</x:f>
        <x:v>0</x:v>
      </x:c>
      <x:c r="K134" t="n">
        <x:f>MAX(D134-H134,0)</x:f>
        <x:v>0</x:v>
      </x:c>
      <x:c r="L134" t="n">
        <x:f>MAX(H134-D134,0)</x:f>
        <x:v>0</x:v>
      </x:c>
      <x:c r="M134" s="24"/>
      <x:c r="O134" s="24"/>
      <x:c r="P134" s="24" t="n">
        <x:f>K134*M134</x:f>
        <x:v>0</x:v>
      </x:c>
      <x:c r="Q134" s="24" t="n">
        <x:f>J134*M134</x:f>
        <x:v>0</x:v>
      </x:c>
      <x:c r="R134" s="24" t="n">
        <x:f>(K134+J134)*O134</x:f>
        <x:v>0</x:v>
      </x:c>
      <x:c r="V134" s="26"/>
    </x:row>
    <x:row r="135">
      <x:c r="I135" t="n">
        <x:f>H135-D135</x:f>
        <x:v>0</x:v>
      </x:c>
      <x:c r="K135" t="n">
        <x:f>MAX(D135-H135,0)</x:f>
        <x:v>0</x:v>
      </x:c>
      <x:c r="L135" t="n">
        <x:f>MAX(H135-D135,0)</x:f>
        <x:v>0</x:v>
      </x:c>
      <x:c r="M135" s="24"/>
      <x:c r="O135" s="24"/>
      <x:c r="P135" s="24" t="n">
        <x:f>K135*M135</x:f>
        <x:v>0</x:v>
      </x:c>
      <x:c r="Q135" s="24" t="n">
        <x:f>J135*M135</x:f>
        <x:v>0</x:v>
      </x:c>
      <x:c r="R135" s="24" t="n">
        <x:f>(K135+J135)*O135</x:f>
        <x:v>0</x:v>
      </x:c>
      <x:c r="V135" s="26"/>
    </x:row>
    <x:row r="136">
      <x:c r="I136" t="n">
        <x:f>H136-D136</x:f>
        <x:v>0</x:v>
      </x:c>
      <x:c r="K136" t="n">
        <x:f>MAX(D136-H136,0)</x:f>
        <x:v>0</x:v>
      </x:c>
      <x:c r="L136" t="n">
        <x:f>MAX(H136-D136,0)</x:f>
        <x:v>0</x:v>
      </x:c>
      <x:c r="M136" s="24"/>
      <x:c r="O136" s="24"/>
      <x:c r="P136" s="24" t="n">
        <x:f>K136*M136</x:f>
        <x:v>0</x:v>
      </x:c>
      <x:c r="Q136" s="24" t="n">
        <x:f>J136*M136</x:f>
        <x:v>0</x:v>
      </x:c>
      <x:c r="R136" s="24" t="n">
        <x:f>(K136+J136)*O136</x:f>
        <x:v>0</x:v>
      </x:c>
      <x:c r="V136" s="26"/>
    </x:row>
    <x:row r="137">
      <x:c r="I137" t="n">
        <x:f>H137-D137</x:f>
        <x:v>0</x:v>
      </x:c>
      <x:c r="K137" t="n">
        <x:f>MAX(D137-H137,0)</x:f>
        <x:v>0</x:v>
      </x:c>
      <x:c r="L137" t="n">
        <x:f>MAX(H137-D137,0)</x:f>
        <x:v>0</x:v>
      </x:c>
      <x:c r="M137" s="24"/>
      <x:c r="O137" s="24"/>
      <x:c r="P137" s="24" t="n">
        <x:f>K137*M137</x:f>
        <x:v>0</x:v>
      </x:c>
      <x:c r="Q137" s="24" t="n">
        <x:f>J137*M137</x:f>
        <x:v>0</x:v>
      </x:c>
      <x:c r="R137" s="24" t="n">
        <x:f>(K137+J137)*O137</x:f>
        <x:v>0</x:v>
      </x:c>
      <x:c r="V137" s="26"/>
    </x:row>
    <x:row r="138">
      <x:c r="I138" t="n">
        <x:f>H138-D138</x:f>
        <x:v>0</x:v>
      </x:c>
      <x:c r="K138" t="n">
        <x:f>MAX(D138-H138,0)</x:f>
        <x:v>0</x:v>
      </x:c>
      <x:c r="L138" t="n">
        <x:f>MAX(H138-D138,0)</x:f>
        <x:v>0</x:v>
      </x:c>
      <x:c r="M138" s="24"/>
      <x:c r="O138" s="24"/>
      <x:c r="P138" s="24" t="n">
        <x:f>K138*M138</x:f>
        <x:v>0</x:v>
      </x:c>
      <x:c r="Q138" s="24" t="n">
        <x:f>J138*M138</x:f>
        <x:v>0</x:v>
      </x:c>
      <x:c r="R138" s="24" t="n">
        <x:f>(K138+J138)*O138</x:f>
        <x:v>0</x:v>
      </x:c>
      <x:c r="V138" s="26"/>
    </x:row>
    <x:row r="139">
      <x:c r="I139" t="n">
        <x:f>H139-D139</x:f>
        <x:v>0</x:v>
      </x:c>
      <x:c r="K139" t="n">
        <x:f>MAX(D139-H139,0)</x:f>
        <x:v>0</x:v>
      </x:c>
      <x:c r="L139" t="n">
        <x:f>MAX(H139-D139,0)</x:f>
        <x:v>0</x:v>
      </x:c>
      <x:c r="M139" s="24"/>
      <x:c r="O139" s="24"/>
      <x:c r="P139" s="24" t="n">
        <x:f>K139*M139</x:f>
        <x:v>0</x:v>
      </x:c>
      <x:c r="Q139" s="24" t="n">
        <x:f>J139*M139</x:f>
        <x:v>0</x:v>
      </x:c>
      <x:c r="R139" s="24" t="n">
        <x:f>(K139+J139)*O139</x:f>
        <x:v>0</x:v>
      </x:c>
      <x:c r="V139" s="26"/>
    </x:row>
    <x:row r="140">
      <x:c r="I140" t="n">
        <x:f>H140-D140</x:f>
        <x:v>0</x:v>
      </x:c>
      <x:c r="K140" t="n">
        <x:f>MAX(D140-H140,0)</x:f>
        <x:v>0</x:v>
      </x:c>
      <x:c r="L140" t="n">
        <x:f>MAX(H140-D140,0)</x:f>
        <x:v>0</x:v>
      </x:c>
      <x:c r="M140" s="24"/>
      <x:c r="O140" s="24"/>
      <x:c r="P140" s="24" t="n">
        <x:f>K140*M140</x:f>
        <x:v>0</x:v>
      </x:c>
      <x:c r="Q140" s="24" t="n">
        <x:f>J140*M140</x:f>
        <x:v>0</x:v>
      </x:c>
      <x:c r="R140" s="24" t="n">
        <x:f>(K140+J140)*O140</x:f>
        <x:v>0</x:v>
      </x:c>
      <x:c r="V140" s="26"/>
    </x:row>
    <x:row r="141">
      <x:c r="I141" t="n">
        <x:f>H141-D141</x:f>
        <x:v>0</x:v>
      </x:c>
      <x:c r="K141" t="n">
        <x:f>MAX(D141-H141,0)</x:f>
        <x:v>0</x:v>
      </x:c>
      <x:c r="L141" t="n">
        <x:f>MAX(H141-D141,0)</x:f>
        <x:v>0</x:v>
      </x:c>
      <x:c r="M141" s="24"/>
      <x:c r="O141" s="24"/>
      <x:c r="P141" s="24" t="n">
        <x:f>K141*M141</x:f>
        <x:v>0</x:v>
      </x:c>
      <x:c r="Q141" s="24" t="n">
        <x:f>J141*M141</x:f>
        <x:v>0</x:v>
      </x:c>
      <x:c r="R141" s="24" t="n">
        <x:f>(K141+J141)*O141</x:f>
        <x:v>0</x:v>
      </x:c>
      <x:c r="V141" s="26"/>
    </x:row>
    <x:row r="142">
      <x:c r="I142" t="n">
        <x:f>H142-D142</x:f>
        <x:v>0</x:v>
      </x:c>
      <x:c r="K142" t="n">
        <x:f>MAX(D142-H142,0)</x:f>
        <x:v>0</x:v>
      </x:c>
      <x:c r="L142" t="n">
        <x:f>MAX(H142-D142,0)</x:f>
        <x:v>0</x:v>
      </x:c>
      <x:c r="M142" s="24"/>
      <x:c r="O142" s="24"/>
      <x:c r="P142" s="24" t="n">
        <x:f>K142*M142</x:f>
        <x:v>0</x:v>
      </x:c>
      <x:c r="Q142" s="24" t="n">
        <x:f>J142*M142</x:f>
        <x:v>0</x:v>
      </x:c>
      <x:c r="R142" s="24" t="n">
        <x:f>(K142+J142)*O142</x:f>
        <x:v>0</x:v>
      </x:c>
      <x:c r="V142" s="26"/>
    </x:row>
    <x:row r="143">
      <x:c r="I143" t="n">
        <x:f>H143-D143</x:f>
        <x:v>0</x:v>
      </x:c>
      <x:c r="K143" t="n">
        <x:f>MAX(D143-H143,0)</x:f>
        <x:v>0</x:v>
      </x:c>
      <x:c r="L143" t="n">
        <x:f>MAX(H143-D143,0)</x:f>
        <x:v>0</x:v>
      </x:c>
      <x:c r="M143" s="24"/>
      <x:c r="O143" s="24"/>
      <x:c r="P143" s="24" t="n">
        <x:f>K143*M143</x:f>
        <x:v>0</x:v>
      </x:c>
      <x:c r="Q143" s="24" t="n">
        <x:f>J143*M143</x:f>
        <x:v>0</x:v>
      </x:c>
      <x:c r="R143" s="24" t="n">
        <x:f>(K143+J143)*O143</x:f>
        <x:v>0</x:v>
      </x:c>
      <x:c r="V143" s="26"/>
    </x:row>
    <x:row r="144">
      <x:c r="I144" t="n">
        <x:f>H144-D144</x:f>
        <x:v>0</x:v>
      </x:c>
      <x:c r="K144" t="n">
        <x:f>MAX(D144-H144,0)</x:f>
        <x:v>0</x:v>
      </x:c>
      <x:c r="L144" t="n">
        <x:f>MAX(H144-D144,0)</x:f>
        <x:v>0</x:v>
      </x:c>
      <x:c r="M144" s="24"/>
      <x:c r="O144" s="24"/>
      <x:c r="P144" s="24" t="n">
        <x:f>K144*M144</x:f>
        <x:v>0</x:v>
      </x:c>
      <x:c r="Q144" s="24" t="n">
        <x:f>J144*M144</x:f>
        <x:v>0</x:v>
      </x:c>
      <x:c r="R144" s="24" t="n">
        <x:f>(K144+J144)*O144</x:f>
        <x:v>0</x:v>
      </x:c>
      <x:c r="V144" s="26"/>
    </x:row>
    <x:row r="145">
      <x:c r="I145" t="n">
        <x:f>H145-D145</x:f>
        <x:v>0</x:v>
      </x:c>
      <x:c r="K145" t="n">
        <x:f>MAX(D145-H145,0)</x:f>
        <x:v>0</x:v>
      </x:c>
      <x:c r="L145" t="n">
        <x:f>MAX(H145-D145,0)</x:f>
        <x:v>0</x:v>
      </x:c>
      <x:c r="M145" s="24"/>
      <x:c r="O145" s="24"/>
      <x:c r="P145" s="24" t="n">
        <x:f>K145*M145</x:f>
        <x:v>0</x:v>
      </x:c>
      <x:c r="Q145" s="24" t="n">
        <x:f>J145*M145</x:f>
        <x:v>0</x:v>
      </x:c>
      <x:c r="R145" s="24" t="n">
        <x:f>(K145+J145)*O145</x:f>
        <x:v>0</x:v>
      </x:c>
      <x:c r="V145" s="26"/>
    </x:row>
    <x:row r="146">
      <x:c r="I146" t="n">
        <x:f>H146-D146</x:f>
        <x:v>0</x:v>
      </x:c>
      <x:c r="K146" t="n">
        <x:f>MAX(D146-H146,0)</x:f>
        <x:v>0</x:v>
      </x:c>
      <x:c r="L146" t="n">
        <x:f>MAX(H146-D146,0)</x:f>
        <x:v>0</x:v>
      </x:c>
      <x:c r="M146" s="24"/>
      <x:c r="O146" s="24"/>
      <x:c r="P146" s="24" t="n">
        <x:f>K146*M146</x:f>
        <x:v>0</x:v>
      </x:c>
      <x:c r="Q146" s="24" t="n">
        <x:f>J146*M146</x:f>
        <x:v>0</x:v>
      </x:c>
      <x:c r="R146" s="24" t="n">
        <x:f>(K146+J146)*O146</x:f>
        <x:v>0</x:v>
      </x:c>
      <x:c r="V146" s="26"/>
    </x:row>
    <x:row r="147">
      <x:c r="I147" t="n">
        <x:f>H147-D147</x:f>
        <x:v>0</x:v>
      </x:c>
      <x:c r="K147" t="n">
        <x:f>MAX(D147-H147,0)</x:f>
        <x:v>0</x:v>
      </x:c>
      <x:c r="L147" t="n">
        <x:f>MAX(H147-D147,0)</x:f>
        <x:v>0</x:v>
      </x:c>
      <x:c r="M147" s="24"/>
      <x:c r="O147" s="24"/>
      <x:c r="P147" s="24" t="n">
        <x:f>K147*M147</x:f>
        <x:v>0</x:v>
      </x:c>
      <x:c r="Q147" s="24" t="n">
        <x:f>J147*M147</x:f>
        <x:v>0</x:v>
      </x:c>
      <x:c r="R147" s="24" t="n">
        <x:f>(K147+J147)*O147</x:f>
        <x:v>0</x:v>
      </x:c>
      <x:c r="V147" s="26"/>
    </x:row>
    <x:row r="148">
      <x:c r="I148" t="n">
        <x:f>H148-D148</x:f>
        <x:v>0</x:v>
      </x:c>
      <x:c r="K148" t="n">
        <x:f>MAX(D148-H148,0)</x:f>
        <x:v>0</x:v>
      </x:c>
      <x:c r="L148" t="n">
        <x:f>MAX(H148-D148,0)</x:f>
        <x:v>0</x:v>
      </x:c>
      <x:c r="M148" s="24"/>
      <x:c r="O148" s="24"/>
      <x:c r="P148" s="24" t="n">
        <x:f>K148*M148</x:f>
        <x:v>0</x:v>
      </x:c>
      <x:c r="Q148" s="24" t="n">
        <x:f>J148*M148</x:f>
        <x:v>0</x:v>
      </x:c>
      <x:c r="R148" s="24" t="n">
        <x:f>(K148+J148)*O148</x:f>
        <x:v>0</x:v>
      </x:c>
      <x:c r="V148" s="26"/>
    </x:row>
    <x:row r="149">
      <x:c r="I149" t="n">
        <x:f>H149-D149</x:f>
        <x:v>0</x:v>
      </x:c>
      <x:c r="K149" t="n">
        <x:f>MAX(D149-H149,0)</x:f>
        <x:v>0</x:v>
      </x:c>
      <x:c r="L149" t="n">
        <x:f>MAX(H149-D149,0)</x:f>
        <x:v>0</x:v>
      </x:c>
      <x:c r="M149" s="24"/>
      <x:c r="O149" s="24"/>
      <x:c r="P149" s="24" t="n">
        <x:f>K149*M149</x:f>
        <x:v>0</x:v>
      </x:c>
      <x:c r="Q149" s="24" t="n">
        <x:f>J149*M149</x:f>
        <x:v>0</x:v>
      </x:c>
      <x:c r="R149" s="24" t="n">
        <x:f>(K149+J149)*O149</x:f>
        <x:v>0</x:v>
      </x:c>
      <x:c r="V149" s="26"/>
    </x:row>
    <x:row r="150">
      <x:c r="I150" t="n">
        <x:f>H150-D150</x:f>
        <x:v>0</x:v>
      </x:c>
      <x:c r="K150" t="n">
        <x:f>MAX(D150-H150,0)</x:f>
        <x:v>0</x:v>
      </x:c>
      <x:c r="L150" t="n">
        <x:f>MAX(H150-D150,0)</x:f>
        <x:v>0</x:v>
      </x:c>
      <x:c r="M150" s="24"/>
      <x:c r="O150" s="24"/>
      <x:c r="P150" s="24" t="n">
        <x:f>K150*M150</x:f>
        <x:v>0</x:v>
      </x:c>
      <x:c r="Q150" s="24" t="n">
        <x:f>J150*M150</x:f>
        <x:v>0</x:v>
      </x:c>
      <x:c r="R150" s="24" t="n">
        <x:f>(K150+J150)*O150</x:f>
        <x:v>0</x:v>
      </x:c>
      <x:c r="V150" s="26"/>
    </x:row>
    <x:row r="151">
      <x:c r="I151" t="n">
        <x:f>H151-D151</x:f>
        <x:v>0</x:v>
      </x:c>
      <x:c r="K151" t="n">
        <x:f>MAX(D151-H151,0)</x:f>
        <x:v>0</x:v>
      </x:c>
      <x:c r="L151" t="n">
        <x:f>MAX(H151-D151,0)</x:f>
        <x:v>0</x:v>
      </x:c>
      <x:c r="M151" s="24"/>
      <x:c r="O151" s="24"/>
      <x:c r="P151" s="24" t="n">
        <x:f>K151*M151</x:f>
        <x:v>0</x:v>
      </x:c>
      <x:c r="Q151" s="24" t="n">
        <x:f>J151*M151</x:f>
        <x:v>0</x:v>
      </x:c>
      <x:c r="R151" s="24" t="n">
        <x:f>(K151+J151)*O151</x:f>
        <x:v>0</x:v>
      </x:c>
      <x:c r="V151" s="26"/>
    </x:row>
    <x:row r="152">
      <x:c r="I152" t="n">
        <x:f>H152-D152</x:f>
        <x:v>0</x:v>
      </x:c>
      <x:c r="K152" t="n">
        <x:f>MAX(D152-H152,0)</x:f>
        <x:v>0</x:v>
      </x:c>
      <x:c r="L152" t="n">
        <x:f>MAX(H152-D152,0)</x:f>
        <x:v>0</x:v>
      </x:c>
      <x:c r="M152" s="24"/>
      <x:c r="O152" s="24"/>
      <x:c r="P152" s="24" t="n">
        <x:f>K152*M152</x:f>
        <x:v>0</x:v>
      </x:c>
      <x:c r="Q152" s="24" t="n">
        <x:f>J152*M152</x:f>
        <x:v>0</x:v>
      </x:c>
      <x:c r="R152" s="24" t="n">
        <x:f>(K152+J152)*O152</x:f>
        <x:v>0</x:v>
      </x:c>
      <x:c r="V152" s="26"/>
    </x:row>
    <x:row r="153">
      <x:c r="I153" t="n">
        <x:f>H153-D153</x:f>
        <x:v>0</x:v>
      </x:c>
      <x:c r="K153" t="n">
        <x:f>MAX(D153-H153,0)</x:f>
        <x:v>0</x:v>
      </x:c>
      <x:c r="L153" t="n">
        <x:f>MAX(H153-D153,0)</x:f>
        <x:v>0</x:v>
      </x:c>
      <x:c r="M153" s="24"/>
      <x:c r="O153" s="24"/>
      <x:c r="P153" s="24" t="n">
        <x:f>K153*M153</x:f>
        <x:v>0</x:v>
      </x:c>
      <x:c r="Q153" s="24" t="n">
        <x:f>J153*M153</x:f>
        <x:v>0</x:v>
      </x:c>
      <x:c r="R153" s="24" t="n">
        <x:f>(K153+J153)*O153</x:f>
        <x:v>0</x:v>
      </x:c>
      <x:c r="V153" s="26"/>
    </x:row>
    <x:row r="154">
      <x:c r="I154" t="n">
        <x:f>H154-D154</x:f>
        <x:v>0</x:v>
      </x:c>
      <x:c r="K154" t="n">
        <x:f>MAX(D154-H154,0)</x:f>
        <x:v>0</x:v>
      </x:c>
      <x:c r="L154" t="n">
        <x:f>MAX(H154-D154,0)</x:f>
        <x:v>0</x:v>
      </x:c>
      <x:c r="M154" s="24"/>
      <x:c r="O154" s="24"/>
      <x:c r="P154" s="24" t="n">
        <x:f>K154*M154</x:f>
        <x:v>0</x:v>
      </x:c>
      <x:c r="Q154" s="24" t="n">
        <x:f>J154*M154</x:f>
        <x:v>0</x:v>
      </x:c>
      <x:c r="R154" s="24" t="n">
        <x:f>(K154+J154)*O154</x:f>
        <x:v>0</x:v>
      </x:c>
      <x:c r="V154" s="26"/>
    </x:row>
    <x:row r="155">
      <x:c r="I155" t="n">
        <x:f>H155-D155</x:f>
        <x:v>0</x:v>
      </x:c>
      <x:c r="K155" t="n">
        <x:f>MAX(D155-H155,0)</x:f>
        <x:v>0</x:v>
      </x:c>
      <x:c r="L155" t="n">
        <x:f>MAX(H155-D155,0)</x:f>
        <x:v>0</x:v>
      </x:c>
      <x:c r="M155" s="24"/>
      <x:c r="O155" s="24"/>
      <x:c r="P155" s="24" t="n">
        <x:f>K155*M155</x:f>
        <x:v>0</x:v>
      </x:c>
      <x:c r="Q155" s="24" t="n">
        <x:f>J155*M155</x:f>
        <x:v>0</x:v>
      </x:c>
      <x:c r="R155" s="24" t="n">
        <x:f>(K155+J155)*O155</x:f>
        <x:v>0</x:v>
      </x:c>
      <x:c r="V155" s="26"/>
    </x:row>
    <x:row r="156">
      <x:c r="I156" t="n">
        <x:f>H156-D156</x:f>
        <x:v>0</x:v>
      </x:c>
      <x:c r="K156" t="n">
        <x:f>MAX(D156-H156,0)</x:f>
        <x:v>0</x:v>
      </x:c>
      <x:c r="L156" t="n">
        <x:f>MAX(H156-D156,0)</x:f>
        <x:v>0</x:v>
      </x:c>
      <x:c r="M156" s="24"/>
      <x:c r="O156" s="24"/>
      <x:c r="P156" s="24" t="n">
        <x:f>K156*M156</x:f>
        <x:v>0</x:v>
      </x:c>
      <x:c r="Q156" s="24" t="n">
        <x:f>J156*M156</x:f>
        <x:v>0</x:v>
      </x:c>
      <x:c r="R156" s="24" t="n">
        <x:f>(K156+J156)*O156</x:f>
        <x:v>0</x:v>
      </x:c>
      <x:c r="V156" s="26"/>
    </x:row>
    <x:row r="157">
      <x:c r="I157" t="n">
        <x:f>H157-D157</x:f>
        <x:v>0</x:v>
      </x:c>
      <x:c r="K157" t="n">
        <x:f>MAX(D157-H157,0)</x:f>
        <x:v>0</x:v>
      </x:c>
      <x:c r="L157" t="n">
        <x:f>MAX(H157-D157,0)</x:f>
        <x:v>0</x:v>
      </x:c>
      <x:c r="M157" s="24"/>
      <x:c r="O157" s="24"/>
      <x:c r="P157" s="24" t="n">
        <x:f>K157*M157</x:f>
        <x:v>0</x:v>
      </x:c>
      <x:c r="Q157" s="24" t="n">
        <x:f>J157*M157</x:f>
        <x:v>0</x:v>
      </x:c>
      <x:c r="R157" s="24" t="n">
        <x:f>(K157+J157)*O157</x:f>
        <x:v>0</x:v>
      </x:c>
      <x:c r="V157" s="26"/>
    </x:row>
    <x:row r="158">
      <x:c r="I158" t="n">
        <x:f>H158-D158</x:f>
        <x:v>0</x:v>
      </x:c>
      <x:c r="K158" t="n">
        <x:f>MAX(D158-H158,0)</x:f>
        <x:v>0</x:v>
      </x:c>
      <x:c r="L158" t="n">
        <x:f>MAX(H158-D158,0)</x:f>
        <x:v>0</x:v>
      </x:c>
      <x:c r="M158" s="24"/>
      <x:c r="O158" s="24"/>
      <x:c r="P158" s="24" t="n">
        <x:f>K158*M158</x:f>
        <x:v>0</x:v>
      </x:c>
      <x:c r="Q158" s="24" t="n">
        <x:f>J158*M158</x:f>
        <x:v>0</x:v>
      </x:c>
      <x:c r="R158" s="24" t="n">
        <x:f>(K158+J158)*O158</x:f>
        <x:v>0</x:v>
      </x:c>
      <x:c r="V158" s="26"/>
    </x:row>
    <x:row r="159">
      <x:c r="I159" t="n">
        <x:f>H159-D159</x:f>
        <x:v>0</x:v>
      </x:c>
      <x:c r="K159" t="n">
        <x:f>MAX(D159-H159,0)</x:f>
        <x:v>0</x:v>
      </x:c>
      <x:c r="L159" t="n">
        <x:f>MAX(H159-D159,0)</x:f>
        <x:v>0</x:v>
      </x:c>
      <x:c r="M159" s="24"/>
      <x:c r="O159" s="24"/>
      <x:c r="P159" s="24" t="n">
        <x:f>K159*M159</x:f>
        <x:v>0</x:v>
      </x:c>
      <x:c r="Q159" s="24" t="n">
        <x:f>J159*M159</x:f>
        <x:v>0</x:v>
      </x:c>
      <x:c r="R159" s="24" t="n">
        <x:f>(K159+J159)*O159</x:f>
        <x:v>0</x:v>
      </x:c>
      <x:c r="V159" s="26"/>
    </x:row>
    <x:row r="160">
      <x:c r="I160" t="n">
        <x:f>H160-D160</x:f>
        <x:v>0</x:v>
      </x:c>
      <x:c r="K160" t="n">
        <x:f>MAX(D160-H160,0)</x:f>
        <x:v>0</x:v>
      </x:c>
      <x:c r="L160" t="n">
        <x:f>MAX(H160-D160,0)</x:f>
        <x:v>0</x:v>
      </x:c>
      <x:c r="M160" s="24"/>
      <x:c r="O160" s="24"/>
      <x:c r="P160" s="24" t="n">
        <x:f>K160*M160</x:f>
        <x:v>0</x:v>
      </x:c>
      <x:c r="Q160" s="24" t="n">
        <x:f>J160*M160</x:f>
        <x:v>0</x:v>
      </x:c>
      <x:c r="R160" s="24" t="n">
        <x:f>(K160+J160)*O160</x:f>
        <x:v>0</x:v>
      </x:c>
      <x:c r="V160" s="26"/>
    </x:row>
    <x:row r="161">
      <x:c r="I161" t="n">
        <x:f>H161-D161</x:f>
        <x:v>0</x:v>
      </x:c>
      <x:c r="K161" t="n">
        <x:f>MAX(D161-H161,0)</x:f>
        <x:v>0</x:v>
      </x:c>
      <x:c r="L161" t="n">
        <x:f>MAX(H161-D161,0)</x:f>
        <x:v>0</x:v>
      </x:c>
      <x:c r="M161" s="24"/>
      <x:c r="O161" s="24"/>
      <x:c r="P161" s="24" t="n">
        <x:f>K161*M161</x:f>
        <x:v>0</x:v>
      </x:c>
      <x:c r="Q161" s="24" t="n">
        <x:f>J161*M161</x:f>
        <x:v>0</x:v>
      </x:c>
      <x:c r="R161" s="24" t="n">
        <x:f>(K161+J161)*O161</x:f>
        <x:v>0</x:v>
      </x:c>
      <x:c r="V161" s="26"/>
    </x:row>
    <x:row r="162">
      <x:c r="I162" t="n">
        <x:f>H162-D162</x:f>
        <x:v>0</x:v>
      </x:c>
      <x:c r="K162" t="n">
        <x:f>MAX(D162-H162,0)</x:f>
        <x:v>0</x:v>
      </x:c>
      <x:c r="L162" t="n">
        <x:f>MAX(H162-D162,0)</x:f>
        <x:v>0</x:v>
      </x:c>
      <x:c r="M162" s="24"/>
      <x:c r="O162" s="24"/>
      <x:c r="P162" s="24" t="n">
        <x:f>K162*M162</x:f>
        <x:v>0</x:v>
      </x:c>
      <x:c r="Q162" s="24" t="n">
        <x:f>J162*M162</x:f>
        <x:v>0</x:v>
      </x:c>
      <x:c r="R162" s="24" t="n">
        <x:f>(K162+J162)*O162</x:f>
        <x:v>0</x:v>
      </x:c>
      <x:c r="V162" s="26"/>
    </x:row>
    <x:row r="163">
      <x:c r="I163" t="n">
        <x:f>H163-D163</x:f>
        <x:v>0</x:v>
      </x:c>
      <x:c r="K163" t="n">
        <x:f>MAX(D163-H163,0)</x:f>
        <x:v>0</x:v>
      </x:c>
      <x:c r="L163" t="n">
        <x:f>MAX(H163-D163,0)</x:f>
        <x:v>0</x:v>
      </x:c>
      <x:c r="M163" s="24"/>
      <x:c r="O163" s="24"/>
      <x:c r="P163" s="24" t="n">
        <x:f>K163*M163</x:f>
        <x:v>0</x:v>
      </x:c>
      <x:c r="Q163" s="24" t="n">
        <x:f>J163*M163</x:f>
        <x:v>0</x:v>
      </x:c>
      <x:c r="R163" s="24" t="n">
        <x:f>(K163+J163)*O163</x:f>
        <x:v>0</x:v>
      </x:c>
      <x:c r="V163" s="26"/>
    </x:row>
    <x:row r="164">
      <x:c r="I164" t="n">
        <x:f>H164-D164</x:f>
        <x:v>0</x:v>
      </x:c>
      <x:c r="K164" t="n">
        <x:f>MAX(D164-H164,0)</x:f>
        <x:v>0</x:v>
      </x:c>
      <x:c r="L164" t="n">
        <x:f>MAX(H164-D164,0)</x:f>
        <x:v>0</x:v>
      </x:c>
      <x:c r="M164" s="24"/>
      <x:c r="O164" s="24"/>
      <x:c r="P164" s="24" t="n">
        <x:f>K164*M164</x:f>
        <x:v>0</x:v>
      </x:c>
      <x:c r="Q164" s="24" t="n">
        <x:f>J164*M164</x:f>
        <x:v>0</x:v>
      </x:c>
      <x:c r="R164" s="24" t="n">
        <x:f>(K164+J164)*O164</x:f>
        <x:v>0</x:v>
      </x:c>
      <x:c r="V164" s="26"/>
    </x:row>
    <x:row r="165">
      <x:c r="I165" t="n">
        <x:f>H165-D165</x:f>
        <x:v>0</x:v>
      </x:c>
      <x:c r="K165" t="n">
        <x:f>MAX(D165-H165,0)</x:f>
        <x:v>0</x:v>
      </x:c>
      <x:c r="L165" t="n">
        <x:f>MAX(H165-D165,0)</x:f>
        <x:v>0</x:v>
      </x:c>
      <x:c r="M165" s="24"/>
      <x:c r="O165" s="24"/>
      <x:c r="P165" s="24" t="n">
        <x:f>K165*M165</x:f>
        <x:v>0</x:v>
      </x:c>
      <x:c r="Q165" s="24" t="n">
        <x:f>J165*M165</x:f>
        <x:v>0</x:v>
      </x:c>
      <x:c r="R165" s="24" t="n">
        <x:f>(K165+J165)*O165</x:f>
        <x:v>0</x:v>
      </x:c>
      <x:c r="V165" s="26"/>
    </x:row>
    <x:row r="166">
      <x:c r="I166" t="n">
        <x:f>H166-D166</x:f>
        <x:v>0</x:v>
      </x:c>
      <x:c r="K166" t="n">
        <x:f>MAX(D166-H166,0)</x:f>
        <x:v>0</x:v>
      </x:c>
      <x:c r="L166" t="n">
        <x:f>MAX(H166-D166,0)</x:f>
        <x:v>0</x:v>
      </x:c>
      <x:c r="M166" s="24"/>
      <x:c r="O166" s="24"/>
      <x:c r="P166" s="24" t="n">
        <x:f>K166*M166</x:f>
        <x:v>0</x:v>
      </x:c>
      <x:c r="Q166" s="24" t="n">
        <x:f>J166*M166</x:f>
        <x:v>0</x:v>
      </x:c>
      <x:c r="R166" s="24" t="n">
        <x:f>(K166+J166)*O166</x:f>
        <x:v>0</x:v>
      </x:c>
      <x:c r="V166" s="26"/>
    </x:row>
    <x:row r="167">
      <x:c r="I167" t="n">
        <x:f>H167-D167</x:f>
        <x:v>0</x:v>
      </x:c>
      <x:c r="K167" t="n">
        <x:f>MAX(D167-H167,0)</x:f>
        <x:v>0</x:v>
      </x:c>
      <x:c r="L167" t="n">
        <x:f>MAX(H167-D167,0)</x:f>
        <x:v>0</x:v>
      </x:c>
      <x:c r="M167" s="24"/>
      <x:c r="O167" s="24"/>
      <x:c r="P167" s="24" t="n">
        <x:f>K167*M167</x:f>
        <x:v>0</x:v>
      </x:c>
      <x:c r="Q167" s="24" t="n">
        <x:f>J167*M167</x:f>
        <x:v>0</x:v>
      </x:c>
      <x:c r="R167" s="24" t="n">
        <x:f>(K167+J167)*O167</x:f>
        <x:v>0</x:v>
      </x:c>
      <x:c r="V167" s="26"/>
    </x:row>
    <x:row r="168">
      <x:c r="I168" t="n">
        <x:f>H168-D168</x:f>
        <x:v>0</x:v>
      </x:c>
      <x:c r="K168" t="n">
        <x:f>MAX(D168-H168,0)</x:f>
        <x:v>0</x:v>
      </x:c>
      <x:c r="L168" t="n">
        <x:f>MAX(H168-D168,0)</x:f>
        <x:v>0</x:v>
      </x:c>
      <x:c r="M168" s="24"/>
      <x:c r="O168" s="24"/>
      <x:c r="P168" s="24" t="n">
        <x:f>K168*M168</x:f>
        <x:v>0</x:v>
      </x:c>
      <x:c r="Q168" s="24" t="n">
        <x:f>J168*M168</x:f>
        <x:v>0</x:v>
      </x:c>
      <x:c r="R168" s="24" t="n">
        <x:f>(K168+J168)*O168</x:f>
        <x:v>0</x:v>
      </x:c>
      <x:c r="V168" s="26"/>
    </x:row>
    <x:row r="169">
      <x:c r="I169" t="n">
        <x:f>H169-D169</x:f>
        <x:v>0</x:v>
      </x:c>
      <x:c r="K169" t="n">
        <x:f>MAX(D169-H169,0)</x:f>
        <x:v>0</x:v>
      </x:c>
      <x:c r="L169" t="n">
        <x:f>MAX(H169-D169,0)</x:f>
        <x:v>0</x:v>
      </x:c>
      <x:c r="M169" s="24"/>
      <x:c r="O169" s="24"/>
      <x:c r="P169" s="24" t="n">
        <x:f>K169*M169</x:f>
        <x:v>0</x:v>
      </x:c>
      <x:c r="Q169" s="24" t="n">
        <x:f>J169*M169</x:f>
        <x:v>0</x:v>
      </x:c>
      <x:c r="R169" s="24" t="n">
        <x:f>(K169+J169)*O169</x:f>
        <x:v>0</x:v>
      </x:c>
      <x:c r="V169" s="26"/>
    </x:row>
    <x:row r="170">
      <x:c r="I170" t="n">
        <x:f>H170-D170</x:f>
        <x:v>0</x:v>
      </x:c>
      <x:c r="K170" t="n">
        <x:f>MAX(D170-H170,0)</x:f>
        <x:v>0</x:v>
      </x:c>
      <x:c r="L170" t="n">
        <x:f>MAX(H170-D170,0)</x:f>
        <x:v>0</x:v>
      </x:c>
      <x:c r="M170" s="24"/>
      <x:c r="O170" s="24"/>
      <x:c r="P170" s="24" t="n">
        <x:f>K170*M170</x:f>
        <x:v>0</x:v>
      </x:c>
      <x:c r="Q170" s="24" t="n">
        <x:f>J170*M170</x:f>
        <x:v>0</x:v>
      </x:c>
      <x:c r="R170" s="24" t="n">
        <x:f>(K170+J170)*O170</x:f>
        <x:v>0</x:v>
      </x:c>
      <x:c r="V170" s="26"/>
    </x:row>
    <x:row r="171">
      <x:c r="I171" t="n">
        <x:f>H171-D171</x:f>
        <x:v>0</x:v>
      </x:c>
      <x:c r="K171" t="n">
        <x:f>MAX(D171-H171,0)</x:f>
        <x:v>0</x:v>
      </x:c>
      <x:c r="L171" t="n">
        <x:f>MAX(H171-D171,0)</x:f>
        <x:v>0</x:v>
      </x:c>
      <x:c r="M171" s="24"/>
      <x:c r="O171" s="24"/>
      <x:c r="P171" s="24" t="n">
        <x:f>K171*M171</x:f>
        <x:v>0</x:v>
      </x:c>
      <x:c r="Q171" s="24" t="n">
        <x:f>J171*M171</x:f>
        <x:v>0</x:v>
      </x:c>
      <x:c r="R171" s="24" t="n">
        <x:f>(K171+J171)*O171</x:f>
        <x:v>0</x:v>
      </x:c>
      <x:c r="V171" s="26"/>
    </x:row>
    <x:row r="172">
      <x:c r="I172" t="n">
        <x:f>H172-D172</x:f>
        <x:v>0</x:v>
      </x:c>
      <x:c r="K172" t="n">
        <x:f>MAX(D172-H172,0)</x:f>
        <x:v>0</x:v>
      </x:c>
      <x:c r="L172" t="n">
        <x:f>MAX(H172-D172,0)</x:f>
        <x:v>0</x:v>
      </x:c>
      <x:c r="M172" s="24"/>
      <x:c r="O172" s="24"/>
      <x:c r="P172" s="24" t="n">
        <x:f>K172*M172</x:f>
        <x:v>0</x:v>
      </x:c>
      <x:c r="Q172" s="24" t="n">
        <x:f>J172*M172</x:f>
        <x:v>0</x:v>
      </x:c>
      <x:c r="R172" s="24" t="n">
        <x:f>(K172+J172)*O172</x:f>
        <x:v>0</x:v>
      </x:c>
      <x:c r="V172" s="26"/>
    </x:row>
    <x:row r="173">
      <x:c r="I173" t="n">
        <x:f>H173-D173</x:f>
        <x:v>0</x:v>
      </x:c>
      <x:c r="K173" t="n">
        <x:f>MAX(D173-H173,0)</x:f>
        <x:v>0</x:v>
      </x:c>
      <x:c r="L173" t="n">
        <x:f>MAX(H173-D173,0)</x:f>
        <x:v>0</x:v>
      </x:c>
      <x:c r="M173" s="24"/>
      <x:c r="O173" s="24"/>
      <x:c r="P173" s="24" t="n">
        <x:f>K173*M173</x:f>
        <x:v>0</x:v>
      </x:c>
      <x:c r="Q173" s="24" t="n">
        <x:f>J173*M173</x:f>
        <x:v>0</x:v>
      </x:c>
      <x:c r="R173" s="24" t="n">
        <x:f>(K173+J173)*O173</x:f>
        <x:v>0</x:v>
      </x:c>
      <x:c r="V173" s="26"/>
    </x:row>
    <x:row r="174">
      <x:c r="I174" t="n">
        <x:f>H174-D174</x:f>
        <x:v>0</x:v>
      </x:c>
      <x:c r="K174" t="n">
        <x:f>MAX(D174-H174,0)</x:f>
        <x:v>0</x:v>
      </x:c>
      <x:c r="L174" t="n">
        <x:f>MAX(H174-D174,0)</x:f>
        <x:v>0</x:v>
      </x:c>
      <x:c r="M174" s="24"/>
      <x:c r="O174" s="24"/>
      <x:c r="P174" s="24" t="n">
        <x:f>K174*M174</x:f>
        <x:v>0</x:v>
      </x:c>
      <x:c r="Q174" s="24" t="n">
        <x:f>J174*M174</x:f>
        <x:v>0</x:v>
      </x:c>
      <x:c r="R174" s="24" t="n">
        <x:f>(K174+J174)*O174</x:f>
        <x:v>0</x:v>
      </x:c>
      <x:c r="V174" s="26"/>
    </x:row>
    <x:row r="175">
      <x:c r="I175" t="n">
        <x:f>H175-D175</x:f>
        <x:v>0</x:v>
      </x:c>
      <x:c r="K175" t="n">
        <x:f>MAX(D175-H175,0)</x:f>
        <x:v>0</x:v>
      </x:c>
      <x:c r="L175" t="n">
        <x:f>MAX(H175-D175,0)</x:f>
        <x:v>0</x:v>
      </x:c>
      <x:c r="M175" s="24"/>
      <x:c r="O175" s="24"/>
      <x:c r="P175" s="24" t="n">
        <x:f>K175*M175</x:f>
        <x:v>0</x:v>
      </x:c>
      <x:c r="Q175" s="24" t="n">
        <x:f>J175*M175</x:f>
        <x:v>0</x:v>
      </x:c>
      <x:c r="R175" s="24" t="n">
        <x:f>(K175+J175)*O175</x:f>
        <x:v>0</x:v>
      </x:c>
      <x:c r="V175" s="26"/>
    </x:row>
    <x:row r="176">
      <x:c r="I176" t="n">
        <x:f>H176-D176</x:f>
        <x:v>0</x:v>
      </x:c>
      <x:c r="K176" t="n">
        <x:f>MAX(D176-H176,0)</x:f>
        <x:v>0</x:v>
      </x:c>
      <x:c r="L176" t="n">
        <x:f>MAX(H176-D176,0)</x:f>
        <x:v>0</x:v>
      </x:c>
      <x:c r="M176" s="24"/>
      <x:c r="O176" s="24"/>
      <x:c r="P176" s="24" t="n">
        <x:f>K176*M176</x:f>
        <x:v>0</x:v>
      </x:c>
      <x:c r="Q176" s="24" t="n">
        <x:f>J176*M176</x:f>
        <x:v>0</x:v>
      </x:c>
      <x:c r="R176" s="24" t="n">
        <x:f>(K176+J176)*O176</x:f>
        <x:v>0</x:v>
      </x:c>
      <x:c r="V176" s="26"/>
    </x:row>
    <x:row r="177">
      <x:c r="I177" t="n">
        <x:f>H177-D177</x:f>
        <x:v>0</x:v>
      </x:c>
      <x:c r="K177" t="n">
        <x:f>MAX(D177-H177,0)</x:f>
        <x:v>0</x:v>
      </x:c>
      <x:c r="L177" t="n">
        <x:f>MAX(H177-D177,0)</x:f>
        <x:v>0</x:v>
      </x:c>
      <x:c r="M177" s="24"/>
      <x:c r="O177" s="24"/>
      <x:c r="P177" s="24" t="n">
        <x:f>K177*M177</x:f>
        <x:v>0</x:v>
      </x:c>
      <x:c r="Q177" s="24" t="n">
        <x:f>J177*M177</x:f>
        <x:v>0</x:v>
      </x:c>
      <x:c r="R177" s="24" t="n">
        <x:f>(K177+J177)*O177</x:f>
        <x:v>0</x:v>
      </x:c>
      <x:c r="V177" s="26"/>
    </x:row>
    <x:row r="178">
      <x:c r="I178" t="n">
        <x:f>H178-D178</x:f>
        <x:v>0</x:v>
      </x:c>
      <x:c r="K178" t="n">
        <x:f>MAX(D178-H178,0)</x:f>
        <x:v>0</x:v>
      </x:c>
      <x:c r="L178" t="n">
        <x:f>MAX(H178-D178,0)</x:f>
        <x:v>0</x:v>
      </x:c>
      <x:c r="M178" s="24"/>
      <x:c r="O178" s="24"/>
      <x:c r="P178" s="24" t="n">
        <x:f>K178*M178</x:f>
        <x:v>0</x:v>
      </x:c>
      <x:c r="Q178" s="24" t="n">
        <x:f>J178*M178</x:f>
        <x:v>0</x:v>
      </x:c>
      <x:c r="R178" s="24" t="n">
        <x:f>(K178+J178)*O178</x:f>
        <x:v>0</x:v>
      </x:c>
      <x:c r="V178" s="26"/>
    </x:row>
    <x:row r="179">
      <x:c r="I179" t="n">
        <x:f>H179-D179</x:f>
        <x:v>0</x:v>
      </x:c>
      <x:c r="K179" t="n">
        <x:f>MAX(D179-H179,0)</x:f>
        <x:v>0</x:v>
      </x:c>
      <x:c r="L179" t="n">
        <x:f>MAX(H179-D179,0)</x:f>
        <x:v>0</x:v>
      </x:c>
      <x:c r="M179" s="24"/>
      <x:c r="O179" s="24"/>
      <x:c r="P179" s="24" t="n">
        <x:f>K179*M179</x:f>
        <x:v>0</x:v>
      </x:c>
      <x:c r="Q179" s="24" t="n">
        <x:f>J179*M179</x:f>
        <x:v>0</x:v>
      </x:c>
      <x:c r="R179" s="24" t="n">
        <x:f>(K179+J179)*O179</x:f>
        <x:v>0</x:v>
      </x:c>
      <x:c r="V179" s="26"/>
    </x:row>
    <x:row r="180">
      <x:c r="I180" t="n">
        <x:f>H180-D180</x:f>
        <x:v>0</x:v>
      </x:c>
      <x:c r="K180" t="n">
        <x:f>MAX(D180-H180,0)</x:f>
        <x:v>0</x:v>
      </x:c>
      <x:c r="L180" t="n">
        <x:f>MAX(H180-D180,0)</x:f>
        <x:v>0</x:v>
      </x:c>
      <x:c r="M180" s="24"/>
      <x:c r="O180" s="24"/>
      <x:c r="P180" s="24" t="n">
        <x:f>K180*M180</x:f>
        <x:v>0</x:v>
      </x:c>
      <x:c r="Q180" s="24" t="n">
        <x:f>J180*M180</x:f>
        <x:v>0</x:v>
      </x:c>
      <x:c r="R180" s="24" t="n">
        <x:f>(K180+J180)*O180</x:f>
        <x:v>0</x:v>
      </x:c>
      <x:c r="V180" s="26"/>
    </x:row>
    <x:row r="181">
      <x:c r="I181" t="n">
        <x:f>H181-D181</x:f>
        <x:v>0</x:v>
      </x:c>
      <x:c r="K181" t="n">
        <x:f>MAX(D181-H181,0)</x:f>
        <x:v>0</x:v>
      </x:c>
      <x:c r="L181" t="n">
        <x:f>MAX(H181-D181,0)</x:f>
        <x:v>0</x:v>
      </x:c>
      <x:c r="M181" s="24"/>
      <x:c r="O181" s="24"/>
      <x:c r="P181" s="24" t="n">
        <x:f>K181*M181</x:f>
        <x:v>0</x:v>
      </x:c>
      <x:c r="Q181" s="24" t="n">
        <x:f>J181*M181</x:f>
        <x:v>0</x:v>
      </x:c>
      <x:c r="R181" s="24" t="n">
        <x:f>(K181+J181)*O181</x:f>
        <x:v>0</x:v>
      </x:c>
      <x:c r="V181" s="26"/>
    </x:row>
    <x:row r="182">
      <x:c r="I182" t="n">
        <x:f>H182-D182</x:f>
        <x:v>0</x:v>
      </x:c>
      <x:c r="K182" t="n">
        <x:f>MAX(D182-H182,0)</x:f>
        <x:v>0</x:v>
      </x:c>
      <x:c r="L182" t="n">
        <x:f>MAX(H182-D182,0)</x:f>
        <x:v>0</x:v>
      </x:c>
      <x:c r="M182" s="24"/>
      <x:c r="O182" s="24"/>
      <x:c r="P182" s="24" t="n">
        <x:f>K182*M182</x:f>
        <x:v>0</x:v>
      </x:c>
      <x:c r="Q182" s="24" t="n">
        <x:f>J182*M182</x:f>
        <x:v>0</x:v>
      </x:c>
      <x:c r="R182" s="24" t="n">
        <x:f>(K182+J182)*O182</x:f>
        <x:v>0</x:v>
      </x:c>
      <x:c r="V182" s="26"/>
    </x:row>
    <x:row r="183">
      <x:c r="I183" t="n">
        <x:f>H183-D183</x:f>
        <x:v>0</x:v>
      </x:c>
      <x:c r="K183" t="n">
        <x:f>MAX(D183-H183,0)</x:f>
        <x:v>0</x:v>
      </x:c>
      <x:c r="L183" t="n">
        <x:f>MAX(H183-D183,0)</x:f>
        <x:v>0</x:v>
      </x:c>
      <x:c r="M183" s="24"/>
      <x:c r="O183" s="24"/>
      <x:c r="P183" s="24" t="n">
        <x:f>K183*M183</x:f>
        <x:v>0</x:v>
      </x:c>
      <x:c r="Q183" s="24" t="n">
        <x:f>J183*M183</x:f>
        <x:v>0</x:v>
      </x:c>
      <x:c r="R183" s="24" t="n">
        <x:f>(K183+J183)*O183</x:f>
        <x:v>0</x:v>
      </x:c>
      <x:c r="V183" s="26"/>
    </x:row>
    <x:row r="184">
      <x:c r="I184" t="n">
        <x:f>H184-D184</x:f>
        <x:v>0</x:v>
      </x:c>
      <x:c r="K184" t="n">
        <x:f>MAX(D184-H184,0)</x:f>
        <x:v>0</x:v>
      </x:c>
      <x:c r="L184" t="n">
        <x:f>MAX(H184-D184,0)</x:f>
        <x:v>0</x:v>
      </x:c>
      <x:c r="M184" s="24"/>
      <x:c r="O184" s="24"/>
      <x:c r="P184" s="24" t="n">
        <x:f>K184*M184</x:f>
        <x:v>0</x:v>
      </x:c>
      <x:c r="Q184" s="24" t="n">
        <x:f>J184*M184</x:f>
        <x:v>0</x:v>
      </x:c>
      <x:c r="R184" s="24" t="n">
        <x:f>(K184+J184)*O184</x:f>
        <x:v>0</x:v>
      </x:c>
      <x:c r="V184" s="26"/>
    </x:row>
    <x:row r="185">
      <x:c r="I185" t="n">
        <x:f>H185-D185</x:f>
        <x:v>0</x:v>
      </x:c>
      <x:c r="K185" t="n">
        <x:f>MAX(D185-H185,0)</x:f>
        <x:v>0</x:v>
      </x:c>
      <x:c r="L185" t="n">
        <x:f>MAX(H185-D185,0)</x:f>
        <x:v>0</x:v>
      </x:c>
      <x:c r="M185" s="24"/>
      <x:c r="O185" s="24"/>
      <x:c r="P185" s="24" t="n">
        <x:f>K185*M185</x:f>
        <x:v>0</x:v>
      </x:c>
      <x:c r="Q185" s="24" t="n">
        <x:f>J185*M185</x:f>
        <x:v>0</x:v>
      </x:c>
      <x:c r="R185" s="24" t="n">
        <x:f>(K185+J185)*O185</x:f>
        <x:v>0</x:v>
      </x:c>
      <x:c r="V185" s="26"/>
    </x:row>
    <x:row r="186">
      <x:c r="I186" t="n">
        <x:f>H186-D186</x:f>
        <x:v>0</x:v>
      </x:c>
      <x:c r="K186" t="n">
        <x:f>MAX(D186-H186,0)</x:f>
        <x:v>0</x:v>
      </x:c>
      <x:c r="L186" t="n">
        <x:f>MAX(H186-D186,0)</x:f>
        <x:v>0</x:v>
      </x:c>
      <x:c r="M186" s="24"/>
      <x:c r="O186" s="24"/>
      <x:c r="P186" s="24" t="n">
        <x:f>K186*M186</x:f>
        <x:v>0</x:v>
      </x:c>
      <x:c r="Q186" s="24" t="n">
        <x:f>J186*M186</x:f>
        <x:v>0</x:v>
      </x:c>
      <x:c r="R186" s="24" t="n">
        <x:f>(K186+J186)*O186</x:f>
        <x:v>0</x:v>
      </x:c>
      <x:c r="V186" s="26"/>
    </x:row>
    <x:row r="187">
      <x:c r="I187" t="n">
        <x:f>H187-D187</x:f>
        <x:v>0</x:v>
      </x:c>
      <x:c r="K187" t="n">
        <x:f>MAX(D187-H187,0)</x:f>
        <x:v>0</x:v>
      </x:c>
      <x:c r="L187" t="n">
        <x:f>MAX(H187-D187,0)</x:f>
        <x:v>0</x:v>
      </x:c>
      <x:c r="M187" s="24"/>
      <x:c r="O187" s="24"/>
      <x:c r="P187" s="24" t="n">
        <x:f>K187*M187</x:f>
        <x:v>0</x:v>
      </x:c>
      <x:c r="Q187" s="24" t="n">
        <x:f>J187*M187</x:f>
        <x:v>0</x:v>
      </x:c>
      <x:c r="R187" s="24" t="n">
        <x:f>(K187+J187)*O187</x:f>
        <x:v>0</x:v>
      </x:c>
      <x:c r="V187" s="26"/>
    </x:row>
    <x:row r="188">
      <x:c r="I188" t="n">
        <x:f>H188-D188</x:f>
        <x:v>0</x:v>
      </x:c>
      <x:c r="K188" t="n">
        <x:f>MAX(D188-H188,0)</x:f>
        <x:v>0</x:v>
      </x:c>
      <x:c r="L188" t="n">
        <x:f>MAX(H188-D188,0)</x:f>
        <x:v>0</x:v>
      </x:c>
      <x:c r="M188" s="24"/>
      <x:c r="O188" s="24"/>
      <x:c r="P188" s="24" t="n">
        <x:f>K188*M188</x:f>
        <x:v>0</x:v>
      </x:c>
      <x:c r="Q188" s="24" t="n">
        <x:f>J188*M188</x:f>
        <x:v>0</x:v>
      </x:c>
      <x:c r="R188" s="24" t="n">
        <x:f>(K188+J188)*O188</x:f>
        <x:v>0</x:v>
      </x:c>
      <x:c r="V188" s="26"/>
    </x:row>
    <x:row r="189">
      <x:c r="I189" t="n">
        <x:f>H189-D189</x:f>
        <x:v>0</x:v>
      </x:c>
      <x:c r="K189" t="n">
        <x:f>MAX(D189-H189,0)</x:f>
        <x:v>0</x:v>
      </x:c>
      <x:c r="L189" t="n">
        <x:f>MAX(H189-D189,0)</x:f>
        <x:v>0</x:v>
      </x:c>
      <x:c r="M189" s="24"/>
      <x:c r="O189" s="24"/>
      <x:c r="P189" s="24" t="n">
        <x:f>K189*M189</x:f>
        <x:v>0</x:v>
      </x:c>
      <x:c r="Q189" s="24" t="n">
        <x:f>J189*M189</x:f>
        <x:v>0</x:v>
      </x:c>
      <x:c r="R189" s="24" t="n">
        <x:f>(K189+J189)*O189</x:f>
        <x:v>0</x:v>
      </x:c>
      <x:c r="V189" s="26"/>
    </x:row>
    <x:row r="190">
      <x:c r="I190" t="n">
        <x:f>H190-D190</x:f>
        <x:v>0</x:v>
      </x:c>
      <x:c r="K190" t="n">
        <x:f>MAX(D190-H190,0)</x:f>
        <x:v>0</x:v>
      </x:c>
      <x:c r="L190" t="n">
        <x:f>MAX(H190-D190,0)</x:f>
        <x:v>0</x:v>
      </x:c>
      <x:c r="M190" s="24"/>
      <x:c r="O190" s="24"/>
      <x:c r="P190" s="24" t="n">
        <x:f>K190*M190</x:f>
        <x:v>0</x:v>
      </x:c>
      <x:c r="Q190" s="24" t="n">
        <x:f>J190*M190</x:f>
        <x:v>0</x:v>
      </x:c>
      <x:c r="R190" s="24" t="n">
        <x:f>(K190+J190)*O190</x:f>
        <x:v>0</x:v>
      </x:c>
      <x:c r="V190" s="26"/>
    </x:row>
    <x:row r="191">
      <x:c r="I191" t="n">
        <x:f>H191-D191</x:f>
        <x:v>0</x:v>
      </x:c>
      <x:c r="K191" t="n">
        <x:f>MAX(D191-H191,0)</x:f>
        <x:v>0</x:v>
      </x:c>
      <x:c r="L191" t="n">
        <x:f>MAX(H191-D191,0)</x:f>
        <x:v>0</x:v>
      </x:c>
      <x:c r="M191" s="24"/>
      <x:c r="O191" s="24"/>
      <x:c r="P191" s="24" t="n">
        <x:f>K191*M191</x:f>
        <x:v>0</x:v>
      </x:c>
      <x:c r="Q191" s="24" t="n">
        <x:f>J191*M191</x:f>
        <x:v>0</x:v>
      </x:c>
      <x:c r="R191" s="24" t="n">
        <x:f>(K191+J191)*O191</x:f>
        <x:v>0</x:v>
      </x:c>
      <x:c r="V191" s="26"/>
    </x:row>
    <x:row r="192">
      <x:c r="I192" t="n">
        <x:f>H192-D192</x:f>
        <x:v>0</x:v>
      </x:c>
      <x:c r="K192" t="n">
        <x:f>MAX(D192-H192,0)</x:f>
        <x:v>0</x:v>
      </x:c>
      <x:c r="L192" t="n">
        <x:f>MAX(H192-D192,0)</x:f>
        <x:v>0</x:v>
      </x:c>
      <x:c r="M192" s="24"/>
      <x:c r="O192" s="24"/>
      <x:c r="P192" s="24" t="n">
        <x:f>K192*M192</x:f>
        <x:v>0</x:v>
      </x:c>
      <x:c r="Q192" s="24" t="n">
        <x:f>J192*M192</x:f>
        <x:v>0</x:v>
      </x:c>
      <x:c r="R192" s="24" t="n">
        <x:f>(K192+J192)*O192</x:f>
        <x:v>0</x:v>
      </x:c>
      <x:c r="V192" s="26"/>
    </x:row>
    <x:row r="193">
      <x:c r="I193" t="n">
        <x:f>H193-D193</x:f>
        <x:v>0</x:v>
      </x:c>
      <x:c r="K193" t="n">
        <x:f>MAX(D193-H193,0)</x:f>
        <x:v>0</x:v>
      </x:c>
      <x:c r="L193" t="n">
        <x:f>MAX(H193-D193,0)</x:f>
        <x:v>0</x:v>
      </x:c>
      <x:c r="M193" s="24"/>
      <x:c r="O193" s="24"/>
      <x:c r="P193" s="24" t="n">
        <x:f>K193*M193</x:f>
        <x:v>0</x:v>
      </x:c>
      <x:c r="Q193" s="24" t="n">
        <x:f>J193*M193</x:f>
        <x:v>0</x:v>
      </x:c>
      <x:c r="R193" s="24" t="n">
        <x:f>(K193+J193)*O193</x:f>
        <x:v>0</x:v>
      </x:c>
      <x:c r="V193" s="26"/>
    </x:row>
    <x:row r="194">
      <x:c r="I194" t="n">
        <x:f>H194-D194</x:f>
        <x:v>0</x:v>
      </x:c>
      <x:c r="K194" t="n">
        <x:f>MAX(D194-H194,0)</x:f>
        <x:v>0</x:v>
      </x:c>
      <x:c r="L194" t="n">
        <x:f>MAX(H194-D194,0)</x:f>
        <x:v>0</x:v>
      </x:c>
      <x:c r="M194" s="24"/>
      <x:c r="O194" s="24"/>
      <x:c r="P194" s="24" t="n">
        <x:f>K194*M194</x:f>
        <x:v>0</x:v>
      </x:c>
      <x:c r="Q194" s="24" t="n">
        <x:f>J194*M194</x:f>
        <x:v>0</x:v>
      </x:c>
      <x:c r="R194" s="24" t="n">
        <x:f>(K194+J194)*O194</x:f>
        <x:v>0</x:v>
      </x:c>
      <x:c r="V194" s="26"/>
    </x:row>
    <x:row r="195">
      <x:c r="I195" t="n">
        <x:f>H195-D195</x:f>
        <x:v>0</x:v>
      </x:c>
      <x:c r="K195" t="n">
        <x:f>MAX(D195-H195,0)</x:f>
        <x:v>0</x:v>
      </x:c>
      <x:c r="L195" t="n">
        <x:f>MAX(H195-D195,0)</x:f>
        <x:v>0</x:v>
      </x:c>
      <x:c r="M195" s="24"/>
      <x:c r="O195" s="24"/>
      <x:c r="P195" s="24" t="n">
        <x:f>K195*M195</x:f>
        <x:v>0</x:v>
      </x:c>
      <x:c r="Q195" s="24" t="n">
        <x:f>J195*M195</x:f>
        <x:v>0</x:v>
      </x:c>
      <x:c r="R195" s="24" t="n">
        <x:f>(K195+J195)*O195</x:f>
        <x:v>0</x:v>
      </x:c>
      <x:c r="V195" s="26"/>
    </x:row>
    <x:row r="196">
      <x:c r="I196" t="n">
        <x:f>H196-D196</x:f>
        <x:v>0</x:v>
      </x:c>
      <x:c r="K196" t="n">
        <x:f>MAX(D196-H196,0)</x:f>
        <x:v>0</x:v>
      </x:c>
      <x:c r="L196" t="n">
        <x:f>MAX(H196-D196,0)</x:f>
        <x:v>0</x:v>
      </x:c>
      <x:c r="M196" s="24"/>
      <x:c r="O196" s="24"/>
      <x:c r="P196" s="24" t="n">
        <x:f>K196*M196</x:f>
        <x:v>0</x:v>
      </x:c>
      <x:c r="Q196" s="24" t="n">
        <x:f>J196*M196</x:f>
        <x:v>0</x:v>
      </x:c>
      <x:c r="R196" s="24" t="n">
        <x:f>(K196+J196)*O196</x:f>
        <x:v>0</x:v>
      </x:c>
      <x:c r="V196" s="26"/>
    </x:row>
    <x:row r="197">
      <x:c r="I197" t="n">
        <x:f>H197-D197</x:f>
        <x:v>0</x:v>
      </x:c>
      <x:c r="K197" t="n">
        <x:f>MAX(D197-H197,0)</x:f>
        <x:v>0</x:v>
      </x:c>
      <x:c r="L197" t="n">
        <x:f>MAX(H197-D197,0)</x:f>
        <x:v>0</x:v>
      </x:c>
      <x:c r="M197" s="24"/>
      <x:c r="O197" s="24"/>
      <x:c r="P197" s="24" t="n">
        <x:f>K197*M197</x:f>
        <x:v>0</x:v>
      </x:c>
      <x:c r="Q197" s="24" t="n">
        <x:f>J197*M197</x:f>
        <x:v>0</x:v>
      </x:c>
      <x:c r="R197" s="24" t="n">
        <x:f>(K197+J197)*O197</x:f>
        <x:v>0</x:v>
      </x:c>
      <x:c r="V197" s="26"/>
    </x:row>
    <x:row r="198">
      <x:c r="I198" t="n">
        <x:f>H198-D198</x:f>
        <x:v>0</x:v>
      </x:c>
      <x:c r="K198" t="n">
        <x:f>MAX(D198-H198,0)</x:f>
        <x:v>0</x:v>
      </x:c>
      <x:c r="L198" t="n">
        <x:f>MAX(H198-D198,0)</x:f>
        <x:v>0</x:v>
      </x:c>
      <x:c r="M198" s="24"/>
      <x:c r="O198" s="24"/>
      <x:c r="P198" s="24" t="n">
        <x:f>K198*M198</x:f>
        <x:v>0</x:v>
      </x:c>
      <x:c r="Q198" s="24" t="n">
        <x:f>J198*M198</x:f>
        <x:v>0</x:v>
      </x:c>
      <x:c r="R198" s="24" t="n">
        <x:f>(K198+J198)*O198</x:f>
        <x:v>0</x:v>
      </x:c>
      <x:c r="V198" s="26"/>
    </x:row>
    <x:row r="199">
      <x:c r="I199" t="n">
        <x:f>H199-D199</x:f>
        <x:v>0</x:v>
      </x:c>
      <x:c r="K199" t="n">
        <x:f>MAX(D199-H199,0)</x:f>
        <x:v>0</x:v>
      </x:c>
      <x:c r="L199" t="n">
        <x:f>MAX(H199-D199,0)</x:f>
        <x:v>0</x:v>
      </x:c>
      <x:c r="M199" s="24"/>
      <x:c r="O199" s="24"/>
      <x:c r="P199" s="24" t="n">
        <x:f>K199*M199</x:f>
        <x:v>0</x:v>
      </x:c>
      <x:c r="Q199" s="24" t="n">
        <x:f>J199*M199</x:f>
        <x:v>0</x:v>
      </x:c>
      <x:c r="R199" s="24" t="n">
        <x:f>(K199+J199)*O199</x:f>
        <x:v>0</x:v>
      </x:c>
      <x:c r="V199" s="26"/>
    </x:row>
    <x:row r="200">
      <x:c r="I200" t="n">
        <x:f>H200-D200</x:f>
        <x:v>0</x:v>
      </x:c>
      <x:c r="K200" t="n">
        <x:f>MAX(D200-H200,0)</x:f>
        <x:v>0</x:v>
      </x:c>
      <x:c r="L200" t="n">
        <x:f>MAX(H200-D200,0)</x:f>
        <x:v>0</x:v>
      </x:c>
      <x:c r="M200" s="24"/>
      <x:c r="O200" s="24"/>
      <x:c r="P200" s="24" t="n">
        <x:f>K200*M200</x:f>
        <x:v>0</x:v>
      </x:c>
      <x:c r="Q200" s="24" t="n">
        <x:f>J200*M200</x:f>
        <x:v>0</x:v>
      </x:c>
      <x:c r="R200" s="24" t="n">
        <x:f>(K200+J200)*O200</x:f>
        <x:v>0</x:v>
      </x:c>
      <x:c r="V200" s="26"/>
    </x:row>
  </x:sheetData>
  <x:conditionalFormatting sqref="I2:I200">
    <x:cfRule type="expression" dxfId="1" priority="1">
      <x:formula>I2&lt;0</x:formula>
    </x:cfRule>
    <x:cfRule type="expression" dxfId="2" priority="2">
      <x:formula>I2&gt;0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8" hidden="0" customWidth="1"/>
  </x:cols>
  <x:sheetData>
    <x:row r="1">
      <x:c r="A1" s="4" t="str">
        <x:v>ARCHIVO LIMPIO PARA AJUSTE ERP - VALIDAR PLANTILLA FINAL DEL ERP</x:v>
      </x:c>
      <x:c r="B1" s="4"/>
      <x:c r="C1" s="4"/>
      <x:c r="D1" s="4"/>
    </x:row>
    <x:row r="3">
      <x:c r="A3" s="12" t="str">
        <x:v>Codigo</x:v>
      </x:c>
      <x:c r="B3" s="12" t="str">
        <x:v>Cantidad_Aprobada</x:v>
      </x:c>
      <x:c r="C3" s="12" t="str">
        <x:v>Ubicacion</x:v>
      </x:c>
      <x:c r="D3" s="12" t="str">
        <x:v>ID_Inventario</x:v>
      </x:c>
    </x:row>
    <x:row r="4">
      <x:c r="A4" t="str">
        <x:v>THE60005</x:v>
      </x:c>
      <x:c r="B4" t="n">
        <x:v>12</x:v>
      </x:c>
      <x:c r="C4" t="str">
        <x:v>Principal</x:v>
      </x:c>
      <x:c r="D4" t="str">
        <x:v>INV-2026-0001</x:v>
      </x:c>
    </x:row>
    <x:row r="5">
      <x:c r="A5" t="str">
        <x:v>CHO60006</x:v>
      </x:c>
      <x:c r="B5" t="n">
        <x:v>8</x:v>
      </x:c>
      <x:c r="C5" t="str">
        <x:v>Principal</x:v>
      </x:c>
      <x:c r="D5" t="str">
        <x:v>INV-2026-0001</x:v>
      </x:c>
    </x:row>
    <x:row r="6">
      <x:c r="A6" t="str">
        <x:v>KIA60005</x:v>
      </x:c>
      <x:c r="B6" t="n">
        <x:v>1</x:v>
      </x:c>
      <x:c r="C6" t="str">
        <x:v>Principal</x:v>
      </x:c>
      <x:c r="D6" t="str">
        <x:v>INV-2026-0001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4" t="str">
        <x:v>DASHBOARD DE INVENTARIO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Indicador</x:v>
      </x:c>
      <x:c r="B4" s="12" t="str">
        <x:v>Valor</x:v>
      </x:c>
    </x:row>
    <x:row r="5">
      <x:c r="A5" t="str">
        <x:v>Productos conciliados</x:v>
      </x:c>
      <x:c r="B5" t="n">
        <x:f>COUNTA(Conciliacion!B2:B200)</x:f>
        <x:v>3</x:v>
      </x:c>
    </x:row>
    <x:row r="6">
      <x:c r="A6" t="str">
        <x:v>Unidades faltantes</x:v>
      </x:c>
      <x:c r="B6" t="n">
        <x:f>SUM(Conciliacion!K2:K200)</x:f>
        <x:v>1</x:v>
      </x:c>
    </x:row>
    <x:row r="7">
      <x:c r="A7" t="str">
        <x:v>Unidades sobrantes</x:v>
      </x:c>
      <x:c r="B7" t="n">
        <x:f>SUM(Conciliacion!L2:L200)</x:f>
        <x:v>2</x:v>
      </x:c>
    </x:row>
    <x:row r="8">
      <x:c r="A8" t="str">
        <x:v>Unidades dañadas</x:v>
      </x:c>
      <x:c r="B8" t="n">
        <x:f>SUM(Conciliacion!J2:J200)</x:f>
        <x:v>1</x:v>
      </x:c>
    </x:row>
    <x:row r="9">
      <x:c r="A9" t="str">
        <x:v>Perdida por faltantes</x:v>
      </x:c>
      <x:c r="B9" s="24" t="n">
        <x:f>SUM(Conciliacion!P2:P200)</x:f>
        <x:v>10.5</x:v>
      </x:c>
    </x:row>
    <x:row r="10">
      <x:c r="A10" t="str">
        <x:v>Perdida por daños</x:v>
      </x:c>
      <x:c r="B10" s="24" t="n">
        <x:f>SUM(Conciliacion!Q2:Q200)</x:f>
        <x:v>10.5</x:v>
      </x:c>
    </x:row>
    <x:row r="11">
      <x:c r="A11" t="str">
        <x:v>Valor venta afectado</x:v>
      </x:c>
      <x:c r="B11" s="24" t="n">
        <x:f>SUM(Conciliacion!R2:R200)</x:f>
        <x:v>36</x:v>
      </x:c>
    </x:row>
  </x:sheetData>
  <x:mergeCells>
    <x:mergeCell ref="A1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" t="str">
        <x:v>Estados_Inventario</x:v>
      </x:c>
      <x:c r="B1" s="12" t="str">
        <x:v>Estados_Conciliacion</x:v>
      </x:c>
      <x:c r="C1" s="12" t="str">
        <x:v>Roles</x:v>
      </x:c>
      <x:c r="D1" s="12" t="str">
        <x:v>Modos_Conteo</x:v>
      </x:c>
      <x:c r="E1" s="12" t="str">
        <x:v>Origen_Registro</x:v>
      </x:c>
      <x:c r="F1" s="12" t="str">
        <x:v>Tipos_Evento</x:v>
      </x:c>
      <x:c r="G1" s="12" t="str">
        <x:v>Motivos_Diferencia</x:v>
      </x:c>
      <x:c r="H1" s="12" t="str">
        <x:v>Estado_Sync</x:v>
      </x:c>
    </x:row>
    <x:row r="2">
      <x:c r="A2" t="str">
        <x:v>BORRADOR</x:v>
      </x:c>
      <x:c r="B2" t="str">
        <x:v>PENDIENTE</x:v>
      </x:c>
      <x:c r="C2" t="str">
        <x:v>OPERARIO</x:v>
      </x:c>
      <x:c r="D2" t="str">
        <x:v>CIEGO_HIBRIDO</x:v>
      </x:c>
      <x:c r="E2" t="str">
        <x:v>ASIGNADO</x:v>
      </x:c>
      <x:c r="F2" t="str">
        <x:v>QR</x:v>
      </x:c>
      <x:c r="G2" t="str">
        <x:v>ERROR_CONTEO</x:v>
      </x:c>
      <x:c r="H2" t="str">
        <x:v>SYNC</x:v>
      </x:c>
    </x:row>
    <x:row r="3">
      <x:c r="A3" t="str">
        <x:v>ASIGNADO</x:v>
      </x:c>
      <x:c r="B3" t="str">
        <x:v>CUADRADO</x:v>
      </x:c>
      <x:c r="C3" t="str">
        <x:v>SUPERVISOR</x:v>
      </x:c>
      <x:c r="D3" t="str">
        <x:v>CIEGO_ESTRICTO</x:v>
      </x:c>
      <x:c r="E3" t="str">
        <x:v>EXTRA</x:v>
      </x:c>
      <x:c r="F3" t="str">
        <x:v>MULTI_QR</x:v>
      </x:c>
      <x:c r="G3" t="str">
        <x:v>DANO</x:v>
      </x:c>
      <x:c r="H3" t="str">
        <x:v>PENDIENTE</x:v>
      </x:c>
    </x:row>
    <x:row r="4">
      <x:c r="A4" t="str">
        <x:v>EN_PROCESO</x:v>
      </x:c>
      <x:c r="B4" t="str">
        <x:v>RECONTEO</x:v>
      </x:c>
      <x:c r="C4" t="str">
        <x:v>JEFE</x:v>
      </x:c>
      <x:c r="D4" t="str">
        <x:v>MULTI_QR</x:v>
      </x:c>
      <x:c r="E4" t="str">
        <x:v>DESCONOCIDO</x:v>
      </x:c>
      <x:c r="F4" t="str">
        <x:v>MANUAL_PLUS</x:v>
      </x:c>
      <x:c r="G4" t="str">
        <x:v>VENTA</x:v>
      </x:c>
      <x:c r="H4" t="str">
        <x:v>ERROR</x:v>
      </x:c>
    </x:row>
    <x:row r="5">
      <x:c r="A5" t="str">
        <x:v>PENDIENTE_REVISION</x:v>
      </x:c>
      <x:c r="B5" t="str">
        <x:v>DIFERENCIA_CONFIRMADA</x:v>
      </x:c>
      <x:c r="C5" t="str">
        <x:v>ADMIN</x:v>
      </x:c>
      <x:c r="D5" t="str"/>
      <x:c r="E5" t="str"/>
      <x:c r="F5" t="str">
        <x:v>MANUAL_MINUS</x:v>
      </x:c>
      <x:c r="G5" t="str">
        <x:v>DEVOLUCION</x:v>
      </x:c>
      <x:c r="H5" t="str"/>
    </x:row>
    <x:row r="6">
      <x:c r="A6" t="str">
        <x:v>RECONTEO</x:v>
      </x:c>
      <x:c r="B6" t="str">
        <x:v>APROBADO</x:v>
      </x:c>
      <x:c r="C6" t="str">
        <x:v>SUPERADMIN</x:v>
      </x:c>
      <x:c r="D6" t="str"/>
      <x:c r="E6" t="str"/>
      <x:c r="F6" t="str">
        <x:v>MANUAL_SET</x:v>
      </x:c>
      <x:c r="G6" t="str">
        <x:v>TRASLADO</x:v>
      </x:c>
      <x:c r="H6" t="str"/>
    </x:row>
    <x:row r="7">
      <x:c r="A7" t="str">
        <x:v>CERRADO</x:v>
      </x:c>
      <x:c r="B7" t="str">
        <x:v>AJUSTADO</x:v>
      </x:c>
      <x:c r="C7" t="str"/>
      <x:c r="D7" t="str"/>
      <x:c r="E7" t="str"/>
      <x:c r="F7" t="str">
        <x:v>DESHACER</x:v>
      </x:c>
      <x:c r="G7" t="str">
        <x:v>OTRA_UBICACION</x:v>
      </x:c>
      <x:c r="H7" t="str"/>
    </x:row>
    <x:row r="8">
      <x:c r="A8" t="str">
        <x:v>CANCELADO</x:v>
      </x:c>
      <x:c r="B8" t="str"/>
      <x:c r="C8" t="str"/>
      <x:c r="D8" t="str"/>
      <x:c r="E8" t="str"/>
      <x:c r="F8" t="str">
        <x:v>DANADO_SET</x:v>
      </x:c>
      <x:c r="G8" t="str">
        <x:v>ERROR_MAESTRO</x:v>
      </x:c>
      <x:c r="H8" t="str"/>
    </x:row>
    <x:row r="9">
      <x:c r="A9" t="str"/>
      <x:c r="B9" t="str"/>
      <x:c r="C9" t="str"/>
      <x:c r="D9" t="str"/>
      <x:c r="E9" t="str"/>
      <x:c r="F9" t="str">
        <x:v>SYNC</x:v>
      </x:c>
      <x:c r="G9" t="str">
        <x:v>FALTANTE</x:v>
      </x:c>
      <x:c r="H9" t="str"/>
    </x:row>
    <x:row r="10">
      <x:c r="A10" t="str"/>
      <x:c r="B10" t="str"/>
      <x:c r="C10" t="str"/>
      <x:c r="D10" t="str"/>
      <x:c r="E10" t="str"/>
      <x:c r="F10" t="str"/>
      <x:c r="G10" t="str">
        <x:v>OTRO</x:v>
      </x:c>
      <x:c r="H10" t="str"/>
    </x:row>
  </x:sheetData>
  <x:pageMargins left="0.7" right="0.7" top="0.75" bottom="0.75" header="0.3" footer="0.3"/>
</x:worksheet>
</file>